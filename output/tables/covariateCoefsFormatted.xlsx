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100/tbPatientCosts/tb-lmic-patientcosts-review/output/tables/"/>
    </mc:Choice>
  </mc:AlternateContent>
  <xr:revisionPtr revIDLastSave="0" documentId="13_ncr:1_{EDF635C7-2B95-B14A-9037-8089258CF0C0}" xr6:coauthVersionLast="47" xr6:coauthVersionMax="47" xr10:uidLastSave="{00000000-0000-0000-0000-000000000000}"/>
  <bookViews>
    <workbookView xWindow="18740" yWindow="2280" windowWidth="35520" windowHeight="18140" activeTab="2" xr2:uid="{0EA54F60-3D4F-6B46-BC31-C5D89344FEF4}"/>
  </bookViews>
  <sheets>
    <sheet name="covariateCoefsNew" sheetId="1" r:id="rId1"/>
    <sheet name="formatted" sheetId="2" r:id="rId2"/>
    <sheet name="tool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3" l="1"/>
  <c r="B46" i="3"/>
  <c r="B47" i="3"/>
  <c r="B48" i="3"/>
  <c r="B49" i="3"/>
  <c r="B50" i="3"/>
  <c r="B51" i="3"/>
  <c r="B52" i="3"/>
  <c r="B44" i="3"/>
  <c r="B35" i="3"/>
  <c r="B36" i="3"/>
  <c r="B37" i="3"/>
  <c r="B38" i="3"/>
  <c r="B39" i="3"/>
  <c r="B40" i="3"/>
  <c r="B41" i="3"/>
  <c r="B42" i="3"/>
  <c r="B34" i="3"/>
  <c r="B25" i="3"/>
  <c r="B26" i="3"/>
  <c r="B27" i="3"/>
  <c r="B28" i="3"/>
  <c r="B29" i="3"/>
  <c r="B30" i="3"/>
  <c r="B31" i="3"/>
  <c r="B32" i="3"/>
  <c r="B24" i="3"/>
  <c r="B14" i="3"/>
  <c r="B15" i="3"/>
  <c r="B16" i="3"/>
  <c r="B17" i="3"/>
  <c r="B18" i="3"/>
  <c r="B19" i="3"/>
  <c r="B20" i="3"/>
  <c r="B21" i="3"/>
  <c r="B13" i="3"/>
  <c r="B11" i="3"/>
  <c r="B6" i="3"/>
  <c r="B7" i="3"/>
  <c r="B8" i="3"/>
  <c r="B9" i="3"/>
  <c r="B10" i="3"/>
  <c r="B4" i="3"/>
  <c r="B5" i="3"/>
  <c r="B3" i="3"/>
  <c r="F3" i="1"/>
  <c r="C5" i="2" s="1"/>
  <c r="F4" i="1"/>
  <c r="D5" i="2" s="1"/>
  <c r="F5" i="1"/>
  <c r="B13" i="2" s="1"/>
  <c r="F6" i="1"/>
  <c r="C13" i="2" s="1"/>
  <c r="F7" i="1"/>
  <c r="D13" i="2" s="1"/>
  <c r="F8" i="1"/>
  <c r="B21" i="2" s="1"/>
  <c r="F9" i="1"/>
  <c r="C21" i="2" s="1"/>
  <c r="F10" i="1"/>
  <c r="D21" i="2" s="1"/>
  <c r="F11" i="1"/>
  <c r="B6" i="2" s="1"/>
  <c r="F12" i="1"/>
  <c r="C6" i="2" s="1"/>
  <c r="F13" i="1"/>
  <c r="D6" i="2" s="1"/>
  <c r="F14" i="1"/>
  <c r="B14" i="2" s="1"/>
  <c r="F15" i="1"/>
  <c r="C14" i="2" s="1"/>
  <c r="F16" i="1"/>
  <c r="D14" i="2" s="1"/>
  <c r="F17" i="1"/>
  <c r="B22" i="2" s="1"/>
  <c r="F18" i="1"/>
  <c r="C22" i="2" s="1"/>
  <c r="F19" i="1"/>
  <c r="D22" i="2" s="1"/>
  <c r="F20" i="1"/>
  <c r="B7" i="2" s="1"/>
  <c r="F21" i="1"/>
  <c r="C7" i="2" s="1"/>
  <c r="F22" i="1"/>
  <c r="D7" i="2" s="1"/>
  <c r="F23" i="1"/>
  <c r="B15" i="2" s="1"/>
  <c r="F24" i="1"/>
  <c r="C15" i="2" s="1"/>
  <c r="F25" i="1"/>
  <c r="D15" i="2" s="1"/>
  <c r="F26" i="1"/>
  <c r="B23" i="2" s="1"/>
  <c r="F27" i="1"/>
  <c r="C23" i="2" s="1"/>
  <c r="F28" i="1"/>
  <c r="D23" i="2" s="1"/>
  <c r="F29" i="1"/>
  <c r="B8" i="2" s="1"/>
  <c r="F30" i="1"/>
  <c r="C8" i="2" s="1"/>
  <c r="F31" i="1"/>
  <c r="D8" i="2" s="1"/>
  <c r="F32" i="1"/>
  <c r="B16" i="2" s="1"/>
  <c r="F33" i="1"/>
  <c r="C16" i="2" s="1"/>
  <c r="F34" i="1"/>
  <c r="D16" i="2" s="1"/>
  <c r="F35" i="1"/>
  <c r="B24" i="2" s="1"/>
  <c r="F36" i="1"/>
  <c r="C24" i="2" s="1"/>
  <c r="F37" i="1"/>
  <c r="D24" i="2" s="1"/>
  <c r="F38" i="1"/>
  <c r="B9" i="2" s="1"/>
  <c r="F39" i="1"/>
  <c r="C9" i="2" s="1"/>
  <c r="F40" i="1"/>
  <c r="D9" i="2" s="1"/>
  <c r="F41" i="1"/>
  <c r="B17" i="2" s="1"/>
  <c r="F42" i="1"/>
  <c r="C17" i="2" s="1"/>
  <c r="F43" i="1"/>
  <c r="D17" i="2" s="1"/>
  <c r="F44" i="1"/>
  <c r="B25" i="2" s="1"/>
  <c r="F45" i="1"/>
  <c r="C25" i="2" s="1"/>
  <c r="F46" i="1"/>
  <c r="D25" i="2" s="1"/>
  <c r="F2" i="1"/>
  <c r="B5" i="2" s="1"/>
</calcChain>
</file>

<file path=xl/sharedStrings.xml><?xml version="1.0" encoding="utf-8"?>
<sst xmlns="http://schemas.openxmlformats.org/spreadsheetml/2006/main" count="81" uniqueCount="65">
  <si>
    <t>V1</t>
  </si>
  <si>
    <t>V2</t>
  </si>
  <si>
    <t>V3</t>
  </si>
  <si>
    <t>Pre-treatment phase</t>
  </si>
  <si>
    <t>Direct medical</t>
  </si>
  <si>
    <t>Direct non-medical</t>
  </si>
  <si>
    <t>Indirect</t>
  </si>
  <si>
    <t>RR/MDR-TB</t>
  </si>
  <si>
    <t>Year</t>
  </si>
  <si>
    <t>Median income</t>
  </si>
  <si>
    <t>OOP % CHE</t>
  </si>
  <si>
    <t>UHC index</t>
  </si>
  <si>
    <t>Intensive treatment phase</t>
  </si>
  <si>
    <t>Continuation treatment phase</t>
  </si>
  <si>
    <t>beta_drtb_overall</t>
  </si>
  <si>
    <t>beta_drtb_dme_prediag</t>
  </si>
  <si>
    <t>beta_drtb_dnme_prediag</t>
  </si>
  <si>
    <t>beta_drtb_ie_prediag</t>
  </si>
  <si>
    <t>beta_drtb_dme_intsvtx</t>
  </si>
  <si>
    <t>beta_drtb_dnme_intsvtx</t>
  </si>
  <si>
    <t>beta_drtb_ie_intsvtx</t>
  </si>
  <si>
    <t>beta_drtb_dme_contntx</t>
  </si>
  <si>
    <t>beta_drtb_dnme_contntx</t>
  </si>
  <si>
    <t>beta_drtb_ie_contntx</t>
  </si>
  <si>
    <t>beta_year_overall</t>
  </si>
  <si>
    <t>beta_year_dme_prediag</t>
  </si>
  <si>
    <t>beta_year_dnme_prediag</t>
  </si>
  <si>
    <t>beta_year_ie_prediag</t>
  </si>
  <si>
    <t>beta_year_dme_intsvtx</t>
  </si>
  <si>
    <t>beta_year_dnme_intsvtx</t>
  </si>
  <si>
    <t>beta_year_ie_intsvtx</t>
  </si>
  <si>
    <t>beta_year_dme_contntx</t>
  </si>
  <si>
    <t>beta_year_dnme_contntx</t>
  </si>
  <si>
    <t>beta_year_ie_contntx</t>
  </si>
  <si>
    <t>beta_world_region</t>
  </si>
  <si>
    <t>beta_med_income_overall</t>
  </si>
  <si>
    <t>beta_med_income_dme_prediag</t>
  </si>
  <si>
    <t>beta_med_income_dnme_prediag</t>
  </si>
  <si>
    <t>beta_med_income_ie_prediag</t>
  </si>
  <si>
    <t>beta_med_income_dme_intsvtx</t>
  </si>
  <si>
    <t>beta_med_income_dnme_intsvtx</t>
  </si>
  <si>
    <t>beta_med_income_ie_intsvtx</t>
  </si>
  <si>
    <t>beta_med_income_dme_contntx</t>
  </si>
  <si>
    <t>beta_med_income_dnme_contntx</t>
  </si>
  <si>
    <t>beta_med_income_ie_contntx</t>
  </si>
  <si>
    <t>beta_oop_che_overall</t>
  </si>
  <si>
    <t>beta_oop_che_dme_prediag</t>
  </si>
  <si>
    <t>beta_oop_che_dnme_prediag</t>
  </si>
  <si>
    <t>beta_oop_che_ie_prediag</t>
  </si>
  <si>
    <t>beta_oop_che_dme_intsvtx</t>
  </si>
  <si>
    <t>beta_oop_che_dnme_intsvtx</t>
  </si>
  <si>
    <t>beta_oop_che_ie_intsvtx</t>
  </si>
  <si>
    <t>beta_oop_che_dme_contntx</t>
  </si>
  <si>
    <t>beta_oop_che_dnme_contntx</t>
  </si>
  <si>
    <t>beta_oop_che_ie_contntx</t>
  </si>
  <si>
    <t>beta_uhc_overall</t>
  </si>
  <si>
    <t>beta_uhc_dme_prediag</t>
  </si>
  <si>
    <t>beta_uhc_dnme_prediag</t>
  </si>
  <si>
    <t>beta_uhc_ie_prediag</t>
  </si>
  <si>
    <t>beta_uhc_dme_intsvtx</t>
  </si>
  <si>
    <t>beta_uhc_dnme_intsvtx</t>
  </si>
  <si>
    <t>beta_uhc_ie_intsvtx</t>
  </si>
  <si>
    <t>beta_uhc_dme_contntx</t>
  </si>
  <si>
    <t>beta_uhc_dnme_contntx</t>
  </si>
  <si>
    <t>beta_uhc_ie_contntx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</si>
</sst>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9" fillId="0" borderId="0" xfId="0" applyFont="1" applyAlignment="1">
      <alignment vertical="center"/>
    </xf>
    <xf numFmtId="0" fontId="18" fillId="0" borderId="11" xfId="0" applyFont="1" applyBorder="1"/>
    <xf numFmtId="0" fontId="20" fillId="0" borderId="12" xfId="0" applyFont="1" applyBorder="1" applyAlignment="1">
      <alignment horizontal="right" vertical="center"/>
    </xf>
    <xf numFmtId="0" fontId="20" fillId="0" borderId="13" xfId="0" applyFont="1" applyBorder="1" applyAlignment="1">
      <alignment horizontal="right" vertical="center"/>
    </xf>
    <xf numFmtId="0" fontId="19" fillId="0" borderId="11" xfId="0" applyFont="1" applyBorder="1" applyAlignment="1">
      <alignment vertical="center"/>
    </xf>
    <xf numFmtId="0" fontId="19" fillId="0" borderId="11" xfId="0" applyFont="1" applyBorder="1" applyAlignment="1">
      <alignment horizontal="right" vertical="center"/>
    </xf>
    <xf numFmtId="0" fontId="19" fillId="0" borderId="10" xfId="0" applyFont="1" applyBorder="1" applyAlignment="1">
      <alignment horizontal="right" vertical="center"/>
    </xf>
    <xf numFmtId="0" fontId="19" fillId="0" borderId="14" xfId="0" applyFont="1" applyBorder="1" applyAlignment="1">
      <alignment horizontal="right" vertical="center"/>
    </xf>
    <xf numFmtId="0" fontId="20" fillId="0" borderId="16" xfId="0" applyFont="1" applyBorder="1" applyAlignment="1">
      <alignment horizontal="right" vertical="center"/>
    </xf>
    <xf numFmtId="0" fontId="19" fillId="0" borderId="17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8" fillId="0" borderId="17" xfId="0" applyFont="1" applyBorder="1"/>
    <xf numFmtId="0" fontId="20" fillId="0" borderId="17" xfId="0" applyFont="1" applyBorder="1" applyAlignment="1">
      <alignment horizontal="right" vertical="center"/>
    </xf>
    <xf numFmtId="0" fontId="19" fillId="0" borderId="15" xfId="0" applyFont="1" applyBorder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0" fillId="0" borderId="17" xfId="0" applyBorder="1"/>
    <xf numFmtId="0" fontId="21" fillId="0" borderId="17" xfId="0" applyFont="1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1BF8-FB56-CB4A-8B50-5BA449B6DBD0}">
  <dimension ref="A1:F46"/>
  <sheetViews>
    <sheetView workbookViewId="0">
      <selection activeCell="B6" sqref="B6"/>
    </sheetView>
  </sheetViews>
  <sheetFormatPr baseColWidth="10" defaultRowHeight="16" x14ac:dyDescent="0.2"/>
  <cols>
    <col min="6" max="6" width="18.1640625" customWidth="1"/>
  </cols>
  <sheetData>
    <row r="1" spans="1:6" x14ac:dyDescent="0.2">
      <c r="B1" t="s">
        <v>0</v>
      </c>
      <c r="C1" t="s">
        <v>1</v>
      </c>
      <c r="D1" t="s">
        <v>2</v>
      </c>
    </row>
    <row r="2" spans="1:6" x14ac:dyDescent="0.2">
      <c r="A2">
        <v>1</v>
      </c>
      <c r="B2">
        <v>1.02</v>
      </c>
      <c r="C2">
        <v>0.55000000000000004</v>
      </c>
      <c r="D2">
        <v>1.99</v>
      </c>
      <c r="F2" t="str">
        <f>_xlfn.CONCAT(B2, " ( ", C2, ", ", D2, ")")</f>
        <v>1.02 ( 0.55, 1.99)</v>
      </c>
    </row>
    <row r="3" spans="1:6" x14ac:dyDescent="0.2">
      <c r="A3">
        <v>2</v>
      </c>
      <c r="B3">
        <v>1.84</v>
      </c>
      <c r="C3">
        <v>0.92</v>
      </c>
      <c r="D3">
        <v>3.79</v>
      </c>
      <c r="F3" t="str">
        <f t="shared" ref="F3:F46" si="0">_xlfn.CONCAT(B3, " ( ", C3, ", ", D3, ")")</f>
        <v>1.84 ( 0.92, 3.79)</v>
      </c>
    </row>
    <row r="4" spans="1:6" x14ac:dyDescent="0.2">
      <c r="A4">
        <v>3</v>
      </c>
      <c r="B4">
        <v>1.27</v>
      </c>
      <c r="C4">
        <v>0.49</v>
      </c>
      <c r="D4">
        <v>3.47</v>
      </c>
      <c r="F4" t="str">
        <f t="shared" si="0"/>
        <v>1.27 ( 0.49, 3.47)</v>
      </c>
    </row>
    <row r="5" spans="1:6" x14ac:dyDescent="0.2">
      <c r="A5">
        <v>4</v>
      </c>
      <c r="B5">
        <v>2.76</v>
      </c>
      <c r="C5">
        <v>0.89</v>
      </c>
      <c r="D5">
        <v>8.1300000000000008</v>
      </c>
      <c r="F5" t="str">
        <f t="shared" si="0"/>
        <v>2.76 ( 0.89, 8.13)</v>
      </c>
    </row>
    <row r="6" spans="1:6" x14ac:dyDescent="0.2">
      <c r="A6">
        <v>5</v>
      </c>
      <c r="B6">
        <v>9.23</v>
      </c>
      <c r="C6">
        <v>1.1599999999999999</v>
      </c>
      <c r="D6">
        <v>87.58</v>
      </c>
      <c r="F6" t="str">
        <f t="shared" si="0"/>
        <v>9.23 ( 1.16, 87.58)</v>
      </c>
    </row>
    <row r="7" spans="1:6" x14ac:dyDescent="0.2">
      <c r="A7">
        <v>6</v>
      </c>
      <c r="B7">
        <v>7.26</v>
      </c>
      <c r="C7">
        <v>2.83</v>
      </c>
      <c r="D7">
        <v>17.68</v>
      </c>
      <c r="F7" t="str">
        <f t="shared" si="0"/>
        <v>7.26 ( 2.83, 17.68)</v>
      </c>
    </row>
    <row r="8" spans="1:6" x14ac:dyDescent="0.2">
      <c r="A8">
        <v>7</v>
      </c>
      <c r="B8">
        <v>4.6900000000000004</v>
      </c>
      <c r="C8">
        <v>1.67</v>
      </c>
      <c r="D8">
        <v>22.09</v>
      </c>
      <c r="F8" t="str">
        <f t="shared" si="0"/>
        <v>4.69 ( 1.67, 22.09)</v>
      </c>
    </row>
    <row r="9" spans="1:6" x14ac:dyDescent="0.2">
      <c r="A9">
        <v>8</v>
      </c>
      <c r="B9">
        <v>7.89</v>
      </c>
      <c r="C9">
        <v>3.1</v>
      </c>
      <c r="D9">
        <v>16.559999999999999</v>
      </c>
      <c r="F9" t="str">
        <f t="shared" si="0"/>
        <v>7.89 ( 3.1, 16.56)</v>
      </c>
    </row>
    <row r="10" spans="1:6" x14ac:dyDescent="0.2">
      <c r="A10">
        <v>9</v>
      </c>
      <c r="B10">
        <v>7.25</v>
      </c>
      <c r="C10">
        <v>3.05</v>
      </c>
      <c r="D10">
        <v>16.36</v>
      </c>
      <c r="F10" t="str">
        <f t="shared" si="0"/>
        <v>7.25 ( 3.05, 16.36)</v>
      </c>
    </row>
    <row r="11" spans="1:6" x14ac:dyDescent="0.2">
      <c r="A11">
        <v>10</v>
      </c>
      <c r="B11">
        <v>1.18</v>
      </c>
      <c r="C11">
        <v>0.85</v>
      </c>
      <c r="D11">
        <v>1.63</v>
      </c>
      <c r="F11" t="str">
        <f t="shared" si="0"/>
        <v>1.18 ( 0.85, 1.63)</v>
      </c>
    </row>
    <row r="12" spans="1:6" x14ac:dyDescent="0.2">
      <c r="A12">
        <v>11</v>
      </c>
      <c r="B12">
        <v>1.07</v>
      </c>
      <c r="C12">
        <v>0.81</v>
      </c>
      <c r="D12">
        <v>1.39</v>
      </c>
      <c r="F12" t="str">
        <f t="shared" si="0"/>
        <v>1.07 ( 0.81, 1.39)</v>
      </c>
    </row>
    <row r="13" spans="1:6" x14ac:dyDescent="0.2">
      <c r="A13">
        <v>12</v>
      </c>
      <c r="B13">
        <v>1.38</v>
      </c>
      <c r="C13">
        <v>0.92</v>
      </c>
      <c r="D13">
        <v>2.4</v>
      </c>
      <c r="F13" t="str">
        <f t="shared" si="0"/>
        <v>1.38 ( 0.92, 2.4)</v>
      </c>
    </row>
    <row r="14" spans="1:6" x14ac:dyDescent="0.2">
      <c r="A14">
        <v>13</v>
      </c>
      <c r="B14">
        <v>0.96</v>
      </c>
      <c r="C14">
        <v>0.55000000000000004</v>
      </c>
      <c r="D14">
        <v>1.45</v>
      </c>
      <c r="F14" t="str">
        <f t="shared" si="0"/>
        <v>0.96 ( 0.55, 1.45)</v>
      </c>
    </row>
    <row r="15" spans="1:6" x14ac:dyDescent="0.2">
      <c r="A15">
        <v>14</v>
      </c>
      <c r="B15">
        <v>1</v>
      </c>
      <c r="C15">
        <v>0.4</v>
      </c>
      <c r="D15">
        <v>2.02</v>
      </c>
      <c r="F15" t="str">
        <f t="shared" si="0"/>
        <v>1 ( 0.4, 2.02)</v>
      </c>
    </row>
    <row r="16" spans="1:6" x14ac:dyDescent="0.2">
      <c r="A16">
        <v>15</v>
      </c>
      <c r="B16">
        <v>0.98</v>
      </c>
      <c r="C16">
        <v>0.5</v>
      </c>
      <c r="D16">
        <v>1.43</v>
      </c>
      <c r="F16" t="str">
        <f t="shared" si="0"/>
        <v>0.98 ( 0.5, 1.43)</v>
      </c>
    </row>
    <row r="17" spans="1:6" x14ac:dyDescent="0.2">
      <c r="A17">
        <v>16</v>
      </c>
      <c r="B17">
        <v>1.01</v>
      </c>
      <c r="C17">
        <v>0.6</v>
      </c>
      <c r="D17">
        <v>1.58</v>
      </c>
      <c r="F17" t="str">
        <f t="shared" si="0"/>
        <v>1.01 ( 0.6, 1.58)</v>
      </c>
    </row>
    <row r="18" spans="1:6" x14ac:dyDescent="0.2">
      <c r="A18">
        <v>17</v>
      </c>
      <c r="B18">
        <v>1.04</v>
      </c>
      <c r="C18">
        <v>0.64</v>
      </c>
      <c r="D18">
        <v>1.46</v>
      </c>
      <c r="F18" t="str">
        <f t="shared" si="0"/>
        <v>1.04 ( 0.64, 1.46)</v>
      </c>
    </row>
    <row r="19" spans="1:6" x14ac:dyDescent="0.2">
      <c r="A19">
        <v>18</v>
      </c>
      <c r="B19">
        <v>1.08</v>
      </c>
      <c r="C19">
        <v>0.67</v>
      </c>
      <c r="D19">
        <v>1.66</v>
      </c>
      <c r="F19" t="str">
        <f t="shared" si="0"/>
        <v>1.08 ( 0.67, 1.66)</v>
      </c>
    </row>
    <row r="20" spans="1:6" x14ac:dyDescent="0.2">
      <c r="A20">
        <v>19</v>
      </c>
      <c r="B20">
        <v>2.1800000000000002</v>
      </c>
      <c r="C20">
        <v>1.2</v>
      </c>
      <c r="D20">
        <v>3.89</v>
      </c>
      <c r="F20" t="str">
        <f t="shared" si="0"/>
        <v>2.18 ( 1.2, 3.89)</v>
      </c>
    </row>
    <row r="21" spans="1:6" x14ac:dyDescent="0.2">
      <c r="A21">
        <v>20</v>
      </c>
      <c r="B21">
        <v>1.59</v>
      </c>
      <c r="C21">
        <v>0.87</v>
      </c>
      <c r="D21">
        <v>2.78</v>
      </c>
      <c r="F21" t="str">
        <f t="shared" si="0"/>
        <v>1.59 ( 0.87, 2.78)</v>
      </c>
    </row>
    <row r="22" spans="1:6" x14ac:dyDescent="0.2">
      <c r="A22">
        <v>21</v>
      </c>
      <c r="B22">
        <v>1.56</v>
      </c>
      <c r="C22">
        <v>0.84</v>
      </c>
      <c r="D22">
        <v>3.02</v>
      </c>
      <c r="F22" t="str">
        <f t="shared" si="0"/>
        <v>1.56 ( 0.84, 3.02)</v>
      </c>
    </row>
    <row r="23" spans="1:6" x14ac:dyDescent="0.2">
      <c r="A23">
        <v>22</v>
      </c>
      <c r="B23">
        <v>1.91</v>
      </c>
      <c r="C23">
        <v>0.97</v>
      </c>
      <c r="D23">
        <v>4.75</v>
      </c>
      <c r="F23" t="str">
        <f t="shared" si="0"/>
        <v>1.91 ( 0.97, 4.75)</v>
      </c>
    </row>
    <row r="24" spans="1:6" x14ac:dyDescent="0.2">
      <c r="A24">
        <v>23</v>
      </c>
      <c r="B24">
        <v>1.69</v>
      </c>
      <c r="C24">
        <v>0.62</v>
      </c>
      <c r="D24">
        <v>5.3</v>
      </c>
      <c r="F24" t="str">
        <f t="shared" si="0"/>
        <v>1.69 ( 0.62, 5.3)</v>
      </c>
    </row>
    <row r="25" spans="1:6" x14ac:dyDescent="0.2">
      <c r="A25">
        <v>24</v>
      </c>
      <c r="B25">
        <v>2.16</v>
      </c>
      <c r="C25">
        <v>0.98</v>
      </c>
      <c r="D25">
        <v>4.96</v>
      </c>
      <c r="F25" t="str">
        <f t="shared" si="0"/>
        <v>2.16 ( 0.98, 4.96)</v>
      </c>
    </row>
    <row r="26" spans="1:6" x14ac:dyDescent="0.2">
      <c r="A26">
        <v>25</v>
      </c>
      <c r="B26">
        <v>3.35</v>
      </c>
      <c r="C26">
        <v>1.27</v>
      </c>
      <c r="D26">
        <v>23.65</v>
      </c>
      <c r="F26" t="str">
        <f t="shared" si="0"/>
        <v>3.35 ( 1.27, 23.65)</v>
      </c>
    </row>
    <row r="27" spans="1:6" x14ac:dyDescent="0.2">
      <c r="A27">
        <v>26</v>
      </c>
      <c r="B27">
        <v>1.25</v>
      </c>
      <c r="C27">
        <v>0.63</v>
      </c>
      <c r="D27">
        <v>2.5499999999999998</v>
      </c>
      <c r="F27" t="str">
        <f t="shared" si="0"/>
        <v>1.25 ( 0.63, 2.55)</v>
      </c>
    </row>
    <row r="28" spans="1:6" x14ac:dyDescent="0.2">
      <c r="A28">
        <v>27</v>
      </c>
      <c r="B28">
        <v>1.63</v>
      </c>
      <c r="C28">
        <v>0.81</v>
      </c>
      <c r="D28">
        <v>3.28</v>
      </c>
      <c r="F28" t="str">
        <f t="shared" si="0"/>
        <v>1.63 ( 0.81, 3.28)</v>
      </c>
    </row>
    <row r="29" spans="1:6" x14ac:dyDescent="0.2">
      <c r="A29">
        <v>28</v>
      </c>
      <c r="B29">
        <v>1.66</v>
      </c>
      <c r="C29">
        <v>1.1299999999999999</v>
      </c>
      <c r="D29">
        <v>2.39</v>
      </c>
      <c r="F29" t="str">
        <f t="shared" si="0"/>
        <v>1.66 ( 1.13, 2.39)</v>
      </c>
    </row>
    <row r="30" spans="1:6" x14ac:dyDescent="0.2">
      <c r="A30">
        <v>29</v>
      </c>
      <c r="B30">
        <v>1.41</v>
      </c>
      <c r="C30">
        <v>1.01</v>
      </c>
      <c r="D30">
        <v>1.9</v>
      </c>
      <c r="F30" t="str">
        <f t="shared" si="0"/>
        <v>1.41 ( 1.01, 1.9)</v>
      </c>
    </row>
    <row r="31" spans="1:6" x14ac:dyDescent="0.2">
      <c r="A31">
        <v>30</v>
      </c>
      <c r="B31">
        <v>1.18</v>
      </c>
      <c r="C31">
        <v>0.8</v>
      </c>
      <c r="D31">
        <v>1.77</v>
      </c>
      <c r="F31" t="str">
        <f t="shared" si="0"/>
        <v>1.18 ( 0.8, 1.77)</v>
      </c>
    </row>
    <row r="32" spans="1:6" x14ac:dyDescent="0.2">
      <c r="A32">
        <v>31</v>
      </c>
      <c r="B32">
        <v>1.31</v>
      </c>
      <c r="C32">
        <v>0.77</v>
      </c>
      <c r="D32">
        <v>2.46</v>
      </c>
      <c r="F32" t="str">
        <f t="shared" si="0"/>
        <v>1.31 ( 0.77, 2.46)</v>
      </c>
    </row>
    <row r="33" spans="1:6" x14ac:dyDescent="0.2">
      <c r="A33">
        <v>32</v>
      </c>
      <c r="B33">
        <v>0.89</v>
      </c>
      <c r="C33">
        <v>0.26</v>
      </c>
      <c r="D33">
        <v>2.08</v>
      </c>
      <c r="F33" t="str">
        <f t="shared" si="0"/>
        <v>0.89 ( 0.26, 2.08)</v>
      </c>
    </row>
    <row r="34" spans="1:6" x14ac:dyDescent="0.2">
      <c r="A34">
        <v>33</v>
      </c>
      <c r="B34">
        <v>0.76</v>
      </c>
      <c r="C34">
        <v>0.45</v>
      </c>
      <c r="D34">
        <v>1.2</v>
      </c>
      <c r="F34" t="str">
        <f t="shared" si="0"/>
        <v>0.76 ( 0.45, 1.2)</v>
      </c>
    </row>
    <row r="35" spans="1:6" x14ac:dyDescent="0.2">
      <c r="A35">
        <v>34</v>
      </c>
      <c r="B35">
        <v>1.26</v>
      </c>
      <c r="C35">
        <v>0.65</v>
      </c>
      <c r="D35">
        <v>2.67</v>
      </c>
      <c r="F35" t="str">
        <f t="shared" si="0"/>
        <v>1.26 ( 0.65, 2.67)</v>
      </c>
    </row>
    <row r="36" spans="1:6" x14ac:dyDescent="0.2">
      <c r="A36">
        <v>35</v>
      </c>
      <c r="B36">
        <v>0.61</v>
      </c>
      <c r="C36">
        <v>0.37</v>
      </c>
      <c r="D36">
        <v>1.1100000000000001</v>
      </c>
      <c r="F36" t="str">
        <f t="shared" si="0"/>
        <v>0.61 ( 0.37, 1.11)</v>
      </c>
    </row>
    <row r="37" spans="1:6" x14ac:dyDescent="0.2">
      <c r="A37">
        <v>36</v>
      </c>
      <c r="B37">
        <v>0.75</v>
      </c>
      <c r="C37">
        <v>0.49</v>
      </c>
      <c r="D37">
        <v>1.18</v>
      </c>
      <c r="F37" t="str">
        <f t="shared" si="0"/>
        <v>0.75 ( 0.49, 1.18)</v>
      </c>
    </row>
    <row r="38" spans="1:6" x14ac:dyDescent="0.2">
      <c r="A38">
        <v>37</v>
      </c>
      <c r="B38">
        <v>0.85</v>
      </c>
      <c r="C38">
        <v>0.48</v>
      </c>
      <c r="D38">
        <v>1.58</v>
      </c>
      <c r="F38" t="str">
        <f t="shared" si="0"/>
        <v>0.85 ( 0.48, 1.58)</v>
      </c>
    </row>
    <row r="39" spans="1:6" x14ac:dyDescent="0.2">
      <c r="A39">
        <v>38</v>
      </c>
      <c r="B39">
        <v>0.81</v>
      </c>
      <c r="C39">
        <v>0.46</v>
      </c>
      <c r="D39">
        <v>1.43</v>
      </c>
      <c r="F39" t="str">
        <f t="shared" si="0"/>
        <v>0.81 ( 0.46, 1.43)</v>
      </c>
    </row>
    <row r="40" spans="1:6" x14ac:dyDescent="0.2">
      <c r="A40">
        <v>39</v>
      </c>
      <c r="B40">
        <v>0.81</v>
      </c>
      <c r="C40">
        <v>0.44</v>
      </c>
      <c r="D40">
        <v>1.44</v>
      </c>
      <c r="F40" t="str">
        <f t="shared" si="0"/>
        <v>0.81 ( 0.44, 1.44)</v>
      </c>
    </row>
    <row r="41" spans="1:6" x14ac:dyDescent="0.2">
      <c r="A41">
        <v>40</v>
      </c>
      <c r="B41">
        <v>0.78</v>
      </c>
      <c r="C41">
        <v>0.37</v>
      </c>
      <c r="D41">
        <v>1.38</v>
      </c>
      <c r="F41" t="str">
        <f t="shared" si="0"/>
        <v>0.78 ( 0.37, 1.38)</v>
      </c>
    </row>
    <row r="42" spans="1:6" x14ac:dyDescent="0.2">
      <c r="A42">
        <v>41</v>
      </c>
      <c r="B42">
        <v>0.82</v>
      </c>
      <c r="C42">
        <v>0.43</v>
      </c>
      <c r="D42">
        <v>1.7</v>
      </c>
      <c r="F42" t="str">
        <f t="shared" si="0"/>
        <v>0.82 ( 0.43, 1.7)</v>
      </c>
    </row>
    <row r="43" spans="1:6" x14ac:dyDescent="0.2">
      <c r="A43">
        <v>42</v>
      </c>
      <c r="B43">
        <v>0.86</v>
      </c>
      <c r="C43">
        <v>0.45</v>
      </c>
      <c r="D43">
        <v>1.63</v>
      </c>
      <c r="F43" t="str">
        <f t="shared" si="0"/>
        <v>0.86 ( 0.45, 1.63)</v>
      </c>
    </row>
    <row r="44" spans="1:6" x14ac:dyDescent="0.2">
      <c r="A44">
        <v>43</v>
      </c>
      <c r="B44">
        <v>0.86</v>
      </c>
      <c r="C44">
        <v>0.47</v>
      </c>
      <c r="D44">
        <v>2.11</v>
      </c>
      <c r="F44" t="str">
        <f t="shared" si="0"/>
        <v>0.86 ( 0.47, 2.11)</v>
      </c>
    </row>
    <row r="45" spans="1:6" x14ac:dyDescent="0.2">
      <c r="A45">
        <v>44</v>
      </c>
      <c r="B45">
        <v>0.81</v>
      </c>
      <c r="C45">
        <v>0.42</v>
      </c>
      <c r="D45">
        <v>1.47</v>
      </c>
      <c r="F45" t="str">
        <f t="shared" si="0"/>
        <v>0.81 ( 0.42, 1.47)</v>
      </c>
    </row>
    <row r="46" spans="1:6" x14ac:dyDescent="0.2">
      <c r="A46">
        <v>45</v>
      </c>
      <c r="B46">
        <v>0.86</v>
      </c>
      <c r="C46">
        <v>0.46</v>
      </c>
      <c r="D46">
        <v>1.57</v>
      </c>
      <c r="F46" t="str">
        <f t="shared" si="0"/>
        <v>0.86 ( 0.46, 1.57)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1129-D048-1D49-863F-FFEA2379E06D}">
  <dimension ref="A2:D26"/>
  <sheetViews>
    <sheetView workbookViewId="0">
      <selection activeCell="B5" sqref="B5"/>
    </sheetView>
  </sheetViews>
  <sheetFormatPr baseColWidth="10" defaultRowHeight="16" x14ac:dyDescent="0.2"/>
  <cols>
    <col min="1" max="1" width="21.83203125" customWidth="1"/>
    <col min="2" max="2" width="27.83203125" customWidth="1"/>
    <col min="3" max="3" width="25.83203125" customWidth="1"/>
    <col min="4" max="4" width="22.83203125" customWidth="1"/>
  </cols>
  <sheetData>
    <row r="2" spans="1:4" x14ac:dyDescent="0.2">
      <c r="A2" s="2"/>
      <c r="B2" s="16"/>
      <c r="C2" s="16"/>
      <c r="D2" s="16"/>
    </row>
    <row r="3" spans="1:4" ht="17" thickBot="1" x14ac:dyDescent="0.25">
      <c r="A3" s="1"/>
      <c r="B3" s="17" t="s">
        <v>3</v>
      </c>
      <c r="C3" s="17"/>
      <c r="D3" s="17"/>
    </row>
    <row r="4" spans="1:4" x14ac:dyDescent="0.2">
      <c r="A4" s="3"/>
      <c r="B4" s="10" t="s">
        <v>4</v>
      </c>
      <c r="C4" s="4" t="s">
        <v>5</v>
      </c>
      <c r="D4" s="5" t="s">
        <v>6</v>
      </c>
    </row>
    <row r="5" spans="1:4" x14ac:dyDescent="0.2">
      <c r="A5" s="6" t="s">
        <v>7</v>
      </c>
      <c r="B5" s="11" t="str">
        <f>covariateCoefsNew!F2</f>
        <v>1.02 ( 0.55, 1.99)</v>
      </c>
      <c r="C5" s="12" t="str">
        <f>covariateCoefsNew!F3</f>
        <v>1.84 ( 0.92, 3.79)</v>
      </c>
      <c r="D5" s="7" t="str">
        <f>covariateCoefsNew!F4</f>
        <v>1.27 ( 0.49, 3.47)</v>
      </c>
    </row>
    <row r="6" spans="1:4" x14ac:dyDescent="0.2">
      <c r="A6" s="6" t="s">
        <v>8</v>
      </c>
      <c r="B6" s="11" t="str">
        <f>covariateCoefsNew!F11</f>
        <v>1.18 ( 0.85, 1.63)</v>
      </c>
      <c r="C6" s="12" t="str">
        <f>covariateCoefsNew!F12</f>
        <v>1.07 ( 0.81, 1.39)</v>
      </c>
      <c r="D6" s="7" t="str">
        <f>covariateCoefsNew!F13</f>
        <v>1.38 ( 0.92, 2.4)</v>
      </c>
    </row>
    <row r="7" spans="1:4" x14ac:dyDescent="0.2">
      <c r="A7" s="6" t="s">
        <v>9</v>
      </c>
      <c r="B7" s="11" t="str">
        <f>covariateCoefsNew!F20</f>
        <v>2.18 ( 1.2, 3.89)</v>
      </c>
      <c r="C7" s="12" t="str">
        <f>covariateCoefsNew!F21</f>
        <v>1.59 ( 0.87, 2.78)</v>
      </c>
      <c r="D7" s="7" t="str">
        <f>covariateCoefsNew!F22</f>
        <v>1.56 ( 0.84, 3.02)</v>
      </c>
    </row>
    <row r="8" spans="1:4" x14ac:dyDescent="0.2">
      <c r="A8" s="6" t="s">
        <v>10</v>
      </c>
      <c r="B8" s="11" t="str">
        <f>covariateCoefsNew!F29</f>
        <v>1.66 ( 1.13, 2.39)</v>
      </c>
      <c r="C8" s="12" t="str">
        <f>covariateCoefsNew!F30</f>
        <v>1.41 ( 1.01, 1.9)</v>
      </c>
      <c r="D8" s="7" t="str">
        <f>covariateCoefsNew!F31</f>
        <v>1.18 ( 0.8, 1.77)</v>
      </c>
    </row>
    <row r="9" spans="1:4" x14ac:dyDescent="0.2">
      <c r="A9" s="6" t="s">
        <v>11</v>
      </c>
      <c r="B9" s="11" t="str">
        <f>covariateCoefsNew!F38</f>
        <v>0.85 ( 0.48, 1.58)</v>
      </c>
      <c r="C9" s="12" t="str">
        <f>covariateCoefsNew!F39</f>
        <v>0.81 ( 0.46, 1.43)</v>
      </c>
      <c r="D9" s="7" t="str">
        <f>covariateCoefsNew!F40</f>
        <v>0.81 ( 0.44, 1.44)</v>
      </c>
    </row>
    <row r="10" spans="1:4" x14ac:dyDescent="0.2">
      <c r="A10" s="3"/>
      <c r="B10" s="13"/>
      <c r="C10" s="1"/>
      <c r="D10" s="3"/>
    </row>
    <row r="11" spans="1:4" ht="17" thickBot="1" x14ac:dyDescent="0.25">
      <c r="A11" s="3"/>
      <c r="B11" s="18" t="s">
        <v>12</v>
      </c>
      <c r="C11" s="17"/>
      <c r="D11" s="19"/>
    </row>
    <row r="12" spans="1:4" x14ac:dyDescent="0.2">
      <c r="A12" s="3"/>
      <c r="B12" s="14" t="s">
        <v>4</v>
      </c>
      <c r="C12" s="4" t="s">
        <v>5</v>
      </c>
      <c r="D12" s="5" t="s">
        <v>6</v>
      </c>
    </row>
    <row r="13" spans="1:4" x14ac:dyDescent="0.2">
      <c r="A13" s="6" t="s">
        <v>7</v>
      </c>
      <c r="B13" s="11" t="str">
        <f>covariateCoefsNew!F5</f>
        <v>2.76 ( 0.89, 8.13)</v>
      </c>
      <c r="C13" s="12" t="str">
        <f>covariateCoefsNew!F6</f>
        <v>9.23 ( 1.16, 87.58)</v>
      </c>
      <c r="D13" s="7" t="str">
        <f>covariateCoefsNew!F7</f>
        <v>7.26 ( 2.83, 17.68)</v>
      </c>
    </row>
    <row r="14" spans="1:4" x14ac:dyDescent="0.2">
      <c r="A14" s="6" t="s">
        <v>8</v>
      </c>
      <c r="B14" s="11" t="str">
        <f>covariateCoefsNew!F14</f>
        <v>0.96 ( 0.55, 1.45)</v>
      </c>
      <c r="C14" s="12" t="str">
        <f>covariateCoefsNew!F15</f>
        <v>1 ( 0.4, 2.02)</v>
      </c>
      <c r="D14" s="7" t="str">
        <f>covariateCoefsNew!F16</f>
        <v>0.98 ( 0.5, 1.43)</v>
      </c>
    </row>
    <row r="15" spans="1:4" x14ac:dyDescent="0.2">
      <c r="A15" s="6" t="s">
        <v>9</v>
      </c>
      <c r="B15" s="11" t="str">
        <f>covariateCoefsNew!F23</f>
        <v>1.91 ( 0.97, 4.75)</v>
      </c>
      <c r="C15" s="12" t="str">
        <f>covariateCoefsNew!F24</f>
        <v>1.69 ( 0.62, 5.3)</v>
      </c>
      <c r="D15" s="7" t="str">
        <f>covariateCoefsNew!F25</f>
        <v>2.16 ( 0.98, 4.96)</v>
      </c>
    </row>
    <row r="16" spans="1:4" x14ac:dyDescent="0.2">
      <c r="A16" s="6" t="s">
        <v>10</v>
      </c>
      <c r="B16" s="11" t="str">
        <f>covariateCoefsNew!F32</f>
        <v>1.31 ( 0.77, 2.46)</v>
      </c>
      <c r="C16" s="12" t="str">
        <f>covariateCoefsNew!F33</f>
        <v>0.89 ( 0.26, 2.08)</v>
      </c>
      <c r="D16" s="7" t="str">
        <f>covariateCoefsNew!F34</f>
        <v>0.76 ( 0.45, 1.2)</v>
      </c>
    </row>
    <row r="17" spans="1:4" x14ac:dyDescent="0.2">
      <c r="A17" s="6" t="s">
        <v>11</v>
      </c>
      <c r="B17" s="11" t="str">
        <f>covariateCoefsNew!F41</f>
        <v>0.78 ( 0.37, 1.38)</v>
      </c>
      <c r="C17" s="12" t="str">
        <f>covariateCoefsNew!F42</f>
        <v>0.82 ( 0.43, 1.7)</v>
      </c>
      <c r="D17" s="7" t="str">
        <f>covariateCoefsNew!F43</f>
        <v>0.86 ( 0.45, 1.63)</v>
      </c>
    </row>
    <row r="18" spans="1:4" x14ac:dyDescent="0.2">
      <c r="A18" s="3"/>
      <c r="B18" s="13"/>
      <c r="C18" s="1"/>
      <c r="D18" s="3"/>
    </row>
    <row r="19" spans="1:4" ht="17" thickBot="1" x14ac:dyDescent="0.25">
      <c r="A19" s="3"/>
      <c r="B19" s="18" t="s">
        <v>13</v>
      </c>
      <c r="C19" s="17"/>
      <c r="D19" s="19"/>
    </row>
    <row r="20" spans="1:4" x14ac:dyDescent="0.2">
      <c r="A20" s="3"/>
      <c r="B20" s="14" t="s">
        <v>4</v>
      </c>
      <c r="C20" s="4" t="s">
        <v>5</v>
      </c>
      <c r="D20" s="5" t="s">
        <v>6</v>
      </c>
    </row>
    <row r="21" spans="1:4" x14ac:dyDescent="0.2">
      <c r="A21" s="6" t="s">
        <v>7</v>
      </c>
      <c r="B21" s="11" t="str">
        <f>covariateCoefsNew!F8</f>
        <v>4.69 ( 1.67, 22.09)</v>
      </c>
      <c r="C21" s="12" t="str">
        <f>covariateCoefsNew!F9</f>
        <v>7.89 ( 3.1, 16.56)</v>
      </c>
      <c r="D21" s="7" t="str">
        <f>covariateCoefsNew!F10</f>
        <v>7.25 ( 3.05, 16.36)</v>
      </c>
    </row>
    <row r="22" spans="1:4" x14ac:dyDescent="0.2">
      <c r="A22" s="6" t="s">
        <v>8</v>
      </c>
      <c r="B22" s="11" t="str">
        <f>covariateCoefsNew!F17</f>
        <v>1.01 ( 0.6, 1.58)</v>
      </c>
      <c r="C22" s="12" t="str">
        <f>covariateCoefsNew!F18</f>
        <v>1.04 ( 0.64, 1.46)</v>
      </c>
      <c r="D22" s="7" t="str">
        <f>covariateCoefsNew!F19</f>
        <v>1.08 ( 0.67, 1.66)</v>
      </c>
    </row>
    <row r="23" spans="1:4" x14ac:dyDescent="0.2">
      <c r="A23" s="6" t="s">
        <v>9</v>
      </c>
      <c r="B23" s="11" t="str">
        <f>covariateCoefsNew!F26</f>
        <v>3.35 ( 1.27, 23.65)</v>
      </c>
      <c r="C23" s="12" t="str">
        <f>covariateCoefsNew!F27</f>
        <v>1.25 ( 0.63, 2.55)</v>
      </c>
      <c r="D23" s="7" t="str">
        <f>covariateCoefsNew!F28</f>
        <v>1.63 ( 0.81, 3.28)</v>
      </c>
    </row>
    <row r="24" spans="1:4" x14ac:dyDescent="0.2">
      <c r="A24" s="6" t="s">
        <v>10</v>
      </c>
      <c r="B24" s="11" t="str">
        <f>covariateCoefsNew!F35</f>
        <v>1.26 ( 0.65, 2.67)</v>
      </c>
      <c r="C24" s="12" t="str">
        <f>covariateCoefsNew!F36</f>
        <v>0.61 ( 0.37, 1.11)</v>
      </c>
      <c r="D24" s="7" t="str">
        <f>covariateCoefsNew!F37</f>
        <v>0.75 ( 0.49, 1.18)</v>
      </c>
    </row>
    <row r="25" spans="1:4" ht="17" thickBot="1" x14ac:dyDescent="0.25">
      <c r="A25" s="6" t="s">
        <v>11</v>
      </c>
      <c r="B25" s="15" t="str">
        <f>covariateCoefsNew!F44</f>
        <v>0.86 ( 0.47, 2.11)</v>
      </c>
      <c r="C25" s="8" t="str">
        <f>covariateCoefsNew!F45</f>
        <v>0.81 ( 0.42, 1.47)</v>
      </c>
      <c r="D25" s="9" t="str">
        <f>covariateCoefsNew!F46</f>
        <v>0.86 ( 0.46, 1.57)</v>
      </c>
    </row>
    <row r="26" spans="1:4" x14ac:dyDescent="0.2">
      <c r="A26" s="1"/>
      <c r="B26" s="1"/>
      <c r="C26" s="1"/>
      <c r="D26" s="1"/>
    </row>
  </sheetData>
  <mergeCells count="4">
    <mergeCell ref="B2:D2"/>
    <mergeCell ref="B3:D3"/>
    <mergeCell ref="B11:D11"/>
    <mergeCell ref="B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BE90-6949-3B43-9165-F2A8B1C7473B}">
  <dimension ref="A2:B52"/>
  <sheetViews>
    <sheetView tabSelected="1" topLeftCell="A33" workbookViewId="0">
      <selection activeCell="B52" sqref="B3:B52"/>
    </sheetView>
  </sheetViews>
  <sheetFormatPr baseColWidth="10" defaultRowHeight="16" x14ac:dyDescent="0.2"/>
  <cols>
    <col min="1" max="1" width="21.6640625" customWidth="1"/>
  </cols>
  <sheetData>
    <row r="2" spans="1:2" x14ac:dyDescent="0.2">
      <c r="A2" s="20" t="s">
        <v>14</v>
      </c>
    </row>
    <row r="3" spans="1:2" x14ac:dyDescent="0.2">
      <c r="A3" s="20" t="s">
        <v>15</v>
      </c>
      <c r="B3">
        <f>covariateCoefsNew!B2</f>
        <v>1.02</v>
      </c>
    </row>
    <row r="4" spans="1:2" x14ac:dyDescent="0.2">
      <c r="A4" s="20" t="s">
        <v>16</v>
      </c>
      <c r="B4">
        <f>covariateCoefsNew!B3</f>
        <v>1.84</v>
      </c>
    </row>
    <row r="5" spans="1:2" x14ac:dyDescent="0.2">
      <c r="A5" s="21" t="s">
        <v>17</v>
      </c>
      <c r="B5">
        <f>covariateCoefsNew!B4</f>
        <v>1.27</v>
      </c>
    </row>
    <row r="6" spans="1:2" x14ac:dyDescent="0.2">
      <c r="A6" s="20" t="s">
        <v>18</v>
      </c>
      <c r="B6">
        <f>covariateCoefsNew!B5</f>
        <v>2.76</v>
      </c>
    </row>
    <row r="7" spans="1:2" x14ac:dyDescent="0.2">
      <c r="A7" s="20" t="s">
        <v>19</v>
      </c>
      <c r="B7">
        <f>covariateCoefsNew!B6</f>
        <v>9.23</v>
      </c>
    </row>
    <row r="8" spans="1:2" x14ac:dyDescent="0.2">
      <c r="A8" s="21" t="s">
        <v>20</v>
      </c>
      <c r="B8">
        <f>covariateCoefsNew!B7</f>
        <v>7.26</v>
      </c>
    </row>
    <row r="9" spans="1:2" x14ac:dyDescent="0.2">
      <c r="A9" s="20" t="s">
        <v>21</v>
      </c>
      <c r="B9">
        <f>covariateCoefsNew!B8</f>
        <v>4.6900000000000004</v>
      </c>
    </row>
    <row r="10" spans="1:2" x14ac:dyDescent="0.2">
      <c r="A10" s="20" t="s">
        <v>22</v>
      </c>
      <c r="B10">
        <f>covariateCoefsNew!B9</f>
        <v>7.89</v>
      </c>
    </row>
    <row r="11" spans="1:2" x14ac:dyDescent="0.2">
      <c r="A11" s="21" t="s">
        <v>23</v>
      </c>
      <c r="B11">
        <f>covariateCoefsNew!B10</f>
        <v>7.25</v>
      </c>
    </row>
    <row r="12" spans="1:2" x14ac:dyDescent="0.2">
      <c r="A12" s="20" t="s">
        <v>24</v>
      </c>
    </row>
    <row r="13" spans="1:2" x14ac:dyDescent="0.2">
      <c r="A13" s="20" t="s">
        <v>25</v>
      </c>
      <c r="B13">
        <f>covariateCoefsNew!B11</f>
        <v>1.18</v>
      </c>
    </row>
    <row r="14" spans="1:2" x14ac:dyDescent="0.2">
      <c r="A14" s="20" t="s">
        <v>26</v>
      </c>
      <c r="B14">
        <f>covariateCoefsNew!B12</f>
        <v>1.07</v>
      </c>
    </row>
    <row r="15" spans="1:2" x14ac:dyDescent="0.2">
      <c r="A15" s="21" t="s">
        <v>27</v>
      </c>
      <c r="B15">
        <f>covariateCoefsNew!B13</f>
        <v>1.38</v>
      </c>
    </row>
    <row r="16" spans="1:2" x14ac:dyDescent="0.2">
      <c r="A16" s="20" t="s">
        <v>28</v>
      </c>
      <c r="B16">
        <f>covariateCoefsNew!B14</f>
        <v>0.96</v>
      </c>
    </row>
    <row r="17" spans="1:2" x14ac:dyDescent="0.2">
      <c r="A17" s="20" t="s">
        <v>29</v>
      </c>
      <c r="B17">
        <f>covariateCoefsNew!B15</f>
        <v>1</v>
      </c>
    </row>
    <row r="18" spans="1:2" x14ac:dyDescent="0.2">
      <c r="A18" s="21" t="s">
        <v>30</v>
      </c>
      <c r="B18">
        <f>covariateCoefsNew!B16</f>
        <v>0.98</v>
      </c>
    </row>
    <row r="19" spans="1:2" x14ac:dyDescent="0.2">
      <c r="A19" s="20" t="s">
        <v>31</v>
      </c>
      <c r="B19">
        <f>covariateCoefsNew!B17</f>
        <v>1.01</v>
      </c>
    </row>
    <row r="20" spans="1:2" x14ac:dyDescent="0.2">
      <c r="A20" s="20" t="s">
        <v>32</v>
      </c>
      <c r="B20">
        <f>covariateCoefsNew!B18</f>
        <v>1.04</v>
      </c>
    </row>
    <row r="21" spans="1:2" x14ac:dyDescent="0.2">
      <c r="A21" s="21" t="s">
        <v>33</v>
      </c>
      <c r="B21">
        <f>covariateCoefsNew!B19</f>
        <v>1.08</v>
      </c>
    </row>
    <row r="22" spans="1:2" x14ac:dyDescent="0.2">
      <c r="A22" s="20" t="s">
        <v>34</v>
      </c>
    </row>
    <row r="23" spans="1:2" x14ac:dyDescent="0.2">
      <c r="A23" s="20" t="s">
        <v>35</v>
      </c>
    </row>
    <row r="24" spans="1:2" x14ac:dyDescent="0.2">
      <c r="A24" s="20" t="s">
        <v>36</v>
      </c>
      <c r="B24">
        <f>covariateCoefsNew!B20</f>
        <v>2.1800000000000002</v>
      </c>
    </row>
    <row r="25" spans="1:2" x14ac:dyDescent="0.2">
      <c r="A25" s="20" t="s">
        <v>37</v>
      </c>
      <c r="B25">
        <f>covariateCoefsNew!B21</f>
        <v>1.59</v>
      </c>
    </row>
    <row r="26" spans="1:2" x14ac:dyDescent="0.2">
      <c r="A26" s="20" t="s">
        <v>38</v>
      </c>
      <c r="B26">
        <f>covariateCoefsNew!B22</f>
        <v>1.56</v>
      </c>
    </row>
    <row r="27" spans="1:2" x14ac:dyDescent="0.2">
      <c r="A27" s="20" t="s">
        <v>39</v>
      </c>
      <c r="B27">
        <f>covariateCoefsNew!B23</f>
        <v>1.91</v>
      </c>
    </row>
    <row r="28" spans="1:2" x14ac:dyDescent="0.2">
      <c r="A28" s="20" t="s">
        <v>40</v>
      </c>
      <c r="B28">
        <f>covariateCoefsNew!B24</f>
        <v>1.69</v>
      </c>
    </row>
    <row r="29" spans="1:2" x14ac:dyDescent="0.2">
      <c r="A29" s="20" t="s">
        <v>41</v>
      </c>
      <c r="B29">
        <f>covariateCoefsNew!B25</f>
        <v>2.16</v>
      </c>
    </row>
    <row r="30" spans="1:2" x14ac:dyDescent="0.2">
      <c r="A30" s="20" t="s">
        <v>42</v>
      </c>
      <c r="B30">
        <f>covariateCoefsNew!B26</f>
        <v>3.35</v>
      </c>
    </row>
    <row r="31" spans="1:2" x14ac:dyDescent="0.2">
      <c r="A31" s="20" t="s">
        <v>43</v>
      </c>
      <c r="B31">
        <f>covariateCoefsNew!B27</f>
        <v>1.25</v>
      </c>
    </row>
    <row r="32" spans="1:2" x14ac:dyDescent="0.2">
      <c r="A32" s="20" t="s">
        <v>44</v>
      </c>
      <c r="B32">
        <f>covariateCoefsNew!B28</f>
        <v>1.63</v>
      </c>
    </row>
    <row r="33" spans="1:2" x14ac:dyDescent="0.2">
      <c r="A33" s="20" t="s">
        <v>45</v>
      </c>
    </row>
    <row r="34" spans="1:2" x14ac:dyDescent="0.2">
      <c r="A34" s="20" t="s">
        <v>46</v>
      </c>
      <c r="B34">
        <f>covariateCoefsNew!B29</f>
        <v>1.66</v>
      </c>
    </row>
    <row r="35" spans="1:2" x14ac:dyDescent="0.2">
      <c r="A35" s="20" t="s">
        <v>47</v>
      </c>
      <c r="B35">
        <f>covariateCoefsNew!B30</f>
        <v>1.41</v>
      </c>
    </row>
    <row r="36" spans="1:2" x14ac:dyDescent="0.2">
      <c r="A36" s="20" t="s">
        <v>48</v>
      </c>
      <c r="B36">
        <f>covariateCoefsNew!B31</f>
        <v>1.18</v>
      </c>
    </row>
    <row r="37" spans="1:2" x14ac:dyDescent="0.2">
      <c r="A37" s="20" t="s">
        <v>49</v>
      </c>
      <c r="B37">
        <f>covariateCoefsNew!B32</f>
        <v>1.31</v>
      </c>
    </row>
    <row r="38" spans="1:2" x14ac:dyDescent="0.2">
      <c r="A38" s="20" t="s">
        <v>50</v>
      </c>
      <c r="B38">
        <f>covariateCoefsNew!B33</f>
        <v>0.89</v>
      </c>
    </row>
    <row r="39" spans="1:2" x14ac:dyDescent="0.2">
      <c r="A39" s="20" t="s">
        <v>51</v>
      </c>
      <c r="B39">
        <f>covariateCoefsNew!B34</f>
        <v>0.76</v>
      </c>
    </row>
    <row r="40" spans="1:2" x14ac:dyDescent="0.2">
      <c r="A40" s="20" t="s">
        <v>52</v>
      </c>
      <c r="B40">
        <f>covariateCoefsNew!B35</f>
        <v>1.26</v>
      </c>
    </row>
    <row r="41" spans="1:2" x14ac:dyDescent="0.2">
      <c r="A41" s="20" t="s">
        <v>53</v>
      </c>
      <c r="B41">
        <f>covariateCoefsNew!B36</f>
        <v>0.61</v>
      </c>
    </row>
    <row r="42" spans="1:2" x14ac:dyDescent="0.2">
      <c r="A42" s="20" t="s">
        <v>54</v>
      </c>
      <c r="B42">
        <f>covariateCoefsNew!B37</f>
        <v>0.75</v>
      </c>
    </row>
    <row r="43" spans="1:2" x14ac:dyDescent="0.2">
      <c r="A43" s="20" t="s">
        <v>55</v>
      </c>
    </row>
    <row r="44" spans="1:2" x14ac:dyDescent="0.2">
      <c r="A44" s="20" t="s">
        <v>56</v>
      </c>
      <c r="B44">
        <f>covariateCoefsNew!B38</f>
        <v>0.85</v>
      </c>
    </row>
    <row r="45" spans="1:2" x14ac:dyDescent="0.2">
      <c r="A45" s="20" t="s">
        <v>57</v>
      </c>
      <c r="B45">
        <f>covariateCoefsNew!B39</f>
        <v>0.81</v>
      </c>
    </row>
    <row r="46" spans="1:2" x14ac:dyDescent="0.2">
      <c r="A46" s="20" t="s">
        <v>58</v>
      </c>
      <c r="B46">
        <f>covariateCoefsNew!B40</f>
        <v>0.81</v>
      </c>
    </row>
    <row r="47" spans="1:2" x14ac:dyDescent="0.2">
      <c r="A47" s="20" t="s">
        <v>59</v>
      </c>
      <c r="B47">
        <f>covariateCoefsNew!B41</f>
        <v>0.78</v>
      </c>
    </row>
    <row r="48" spans="1:2" x14ac:dyDescent="0.2">
      <c r="A48" s="20" t="s">
        <v>60</v>
      </c>
      <c r="B48">
        <f>covariateCoefsNew!B42</f>
        <v>0.82</v>
      </c>
    </row>
    <row r="49" spans="1:2" x14ac:dyDescent="0.2">
      <c r="A49" s="20" t="s">
        <v>61</v>
      </c>
      <c r="B49">
        <f>covariateCoefsNew!B43</f>
        <v>0.86</v>
      </c>
    </row>
    <row r="50" spans="1:2" x14ac:dyDescent="0.2">
      <c r="A50" s="20" t="s">
        <v>62</v>
      </c>
      <c r="B50">
        <f>covariateCoefsNew!B44</f>
        <v>0.86</v>
      </c>
    </row>
    <row r="51" spans="1:2" x14ac:dyDescent="0.2">
      <c r="A51" s="20" t="s">
        <v>63</v>
      </c>
      <c r="B51">
        <f>covariateCoefsNew!B45</f>
        <v>0.81</v>
      </c>
    </row>
    <row r="52" spans="1:2" ht="17" thickBot="1" x14ac:dyDescent="0.25">
      <c r="A52" s="22" t="s">
        <v>64</v>
      </c>
      <c r="B52">
        <f>covariateCoefsNew!B46</f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covariateCoefsNew</vt:lpstr>
      <vt:lpstr>formatted</vt:lpstr>
      <vt:lpstr>toolformat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Swartwood, Nicole Anne</cp:lastModifiedBy>
  <dcterms:created xsi:type="dcterms:W3CDTF">2026-05-21T04:58:24Z</dcterms:created>
  <dcterms:modified xsi:type="dcterms:W3CDTF">2026-06-27T00:31:30Z</dcterms:modified>
</cp:coreProperties>
</file>