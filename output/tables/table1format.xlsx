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100/tbPatientCosts/tb-lmic-patientcosts-review/output/tables/"/>
    </mc:Choice>
  </mc:AlternateContent>
  <xr:revisionPtr revIDLastSave="0" documentId="13_ncr:9_{2F3C4A06-A201-884C-BA7B-8505495E8929}" xr6:coauthVersionLast="47" xr6:coauthVersionMax="47" xr10:uidLastSave="{00000000-0000-0000-0000-000000000000}"/>
  <bookViews>
    <workbookView xWindow="7360" yWindow="1780" windowWidth="28040" windowHeight="17180" activeTab="4" xr2:uid="{52824784-D493-BC4E-9746-6EFD080E8278}"/>
  </bookViews>
  <sheets>
    <sheet name="allLMICMedianCosts" sheetId="4" r:id="rId1"/>
    <sheet name="top30MedianCosts" sheetId="5" r:id="rId2"/>
    <sheet name="regionMedianCosts" sheetId="1" r:id="rId3"/>
    <sheet name="worldBankMedianCost" sheetId="3" r:id="rId4"/>
    <sheet name="marginal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E24" i="2"/>
  <c r="E26" i="2"/>
  <c r="D26" i="2"/>
  <c r="C26" i="2"/>
  <c r="B26" i="2"/>
  <c r="B25" i="2"/>
  <c r="E17" i="2"/>
  <c r="D17" i="2"/>
  <c r="C17" i="2"/>
  <c r="B17" i="2"/>
  <c r="E3" i="2"/>
  <c r="D3" i="2"/>
  <c r="C3" i="2"/>
  <c r="B3" i="2"/>
  <c r="E16" i="2"/>
  <c r="D16" i="2"/>
  <c r="C16" i="2"/>
  <c r="B16" i="2"/>
  <c r="E2" i="2"/>
  <c r="D2" i="2"/>
  <c r="C2" i="2"/>
  <c r="B2" i="2"/>
  <c r="E11" i="2"/>
  <c r="D25" i="2"/>
  <c r="C25" i="2"/>
  <c r="D24" i="2"/>
  <c r="C24" i="2"/>
  <c r="B24" i="2"/>
  <c r="B23" i="2"/>
  <c r="E12" i="2"/>
  <c r="D12" i="2"/>
  <c r="C12" i="2"/>
  <c r="B12" i="2"/>
  <c r="D11" i="2"/>
  <c r="C11" i="2"/>
  <c r="B11" i="2"/>
  <c r="B10" i="2"/>
  <c r="E10" i="2"/>
  <c r="D10" i="2"/>
  <c r="C10" i="2"/>
  <c r="E23" i="2"/>
  <c r="E22" i="2"/>
  <c r="D23" i="2"/>
  <c r="C23" i="2"/>
  <c r="B22" i="2"/>
  <c r="C22" i="2"/>
  <c r="D22" i="2"/>
  <c r="E9" i="2"/>
  <c r="D9" i="2"/>
  <c r="C9" i="2"/>
  <c r="B9" i="2"/>
  <c r="B8" i="2"/>
  <c r="E8" i="2"/>
  <c r="D8" i="2"/>
  <c r="C8" i="2"/>
  <c r="E21" i="2"/>
  <c r="D21" i="2"/>
  <c r="C21" i="2"/>
  <c r="B21" i="2"/>
  <c r="E7" i="2"/>
  <c r="D7" i="2"/>
  <c r="C7" i="2"/>
  <c r="B7" i="2"/>
  <c r="B20" i="2"/>
  <c r="C20" i="2"/>
  <c r="D20" i="2"/>
  <c r="E20" i="2"/>
  <c r="E6" i="2"/>
  <c r="D6" i="2"/>
  <c r="C6" i="2"/>
  <c r="B6" i="2"/>
  <c r="D5" i="2"/>
  <c r="C5" i="2"/>
  <c r="B5" i="2"/>
  <c r="E5" i="2"/>
  <c r="E19" i="2"/>
  <c r="D19" i="2"/>
  <c r="C19" i="2"/>
  <c r="B19" i="2"/>
  <c r="B18" i="2"/>
  <c r="E18" i="2"/>
  <c r="E4" i="2"/>
  <c r="C18" i="2"/>
  <c r="D18" i="2"/>
  <c r="B4" i="2"/>
  <c r="D4" i="2"/>
  <c r="C4" i="2"/>
</calcChain>
</file>

<file path=xl/sharedStrings.xml><?xml version="1.0" encoding="utf-8"?>
<sst xmlns="http://schemas.openxmlformats.org/spreadsheetml/2006/main" count="548" uniqueCount="187">
  <si>
    <t>who.region</t>
  </si>
  <si>
    <t>Category</t>
  </si>
  <si>
    <t>est</t>
  </si>
  <si>
    <t>lower</t>
  </si>
  <si>
    <t>upper</t>
  </si>
  <si>
    <t>formatted</t>
  </si>
  <si>
    <t>Africa</t>
  </si>
  <si>
    <t>wgtDME_PT</t>
  </si>
  <si>
    <t>159 (16, 1584)</t>
  </si>
  <si>
    <t>wgtDNME_PT</t>
  </si>
  <si>
    <t>85 (14, 467)</t>
  </si>
  <si>
    <t>wgtIE_PT</t>
  </si>
  <si>
    <t>wgtDME_IT</t>
  </si>
  <si>
    <t>73 (4, 581)</t>
  </si>
  <si>
    <t>wgtDNME_IT</t>
  </si>
  <si>
    <t>46 (1, 1263)</t>
  </si>
  <si>
    <t>wgtIE_IT</t>
  </si>
  <si>
    <t>wgtDME_CT</t>
  </si>
  <si>
    <t>26 (0, 594)</t>
  </si>
  <si>
    <t>wgtDNME_CT</t>
  </si>
  <si>
    <t>510 (60, 3432)</t>
  </si>
  <si>
    <t>wgtIE_CT</t>
  </si>
  <si>
    <t>wgtPT</t>
  </si>
  <si>
    <t>341 (51, 2415)</t>
  </si>
  <si>
    <t>wgtIT</t>
  </si>
  <si>
    <t>207 (24, 2820)</t>
  </si>
  <si>
    <t>wgtCT</t>
  </si>
  <si>
    <t>1092 (150, 7165)</t>
  </si>
  <si>
    <t>wgtDME</t>
  </si>
  <si>
    <t>293 (38, 2656)</t>
  </si>
  <si>
    <t>wgtDNME</t>
  </si>
  <si>
    <t>765 (168, 4422)</t>
  </si>
  <si>
    <t>wgtIE</t>
  </si>
  <si>
    <t>832 (177, 4800)</t>
  </si>
  <si>
    <t>wgtTotal</t>
  </si>
  <si>
    <t>2048 (492, 10644)</t>
  </si>
  <si>
    <t>Americas</t>
  </si>
  <si>
    <t>412 (85, 2143)</t>
  </si>
  <si>
    <t>123 (32, 497)</t>
  </si>
  <si>
    <t>139 (17, 849)</t>
  </si>
  <si>
    <t>83 (4, 1753)</t>
  </si>
  <si>
    <t>156 (8, 1563)</t>
  </si>
  <si>
    <t>621 (78, 2887)</t>
  </si>
  <si>
    <t>682 (166, 2982)</t>
  </si>
  <si>
    <t>369 (57, 3857)</t>
  </si>
  <si>
    <t>1499 (247, 6689)</t>
  </si>
  <si>
    <t>790 (169, 3871)</t>
  </si>
  <si>
    <t>968 (232, 4077)</t>
  </si>
  <si>
    <t>1734 (377, 7286)</t>
  </si>
  <si>
    <t>3693 (886, 13983)</t>
  </si>
  <si>
    <t>Eastern Mediterranean</t>
  </si>
  <si>
    <t>304 (46, 1618)</t>
  </si>
  <si>
    <t>115 (27, 453)</t>
  </si>
  <si>
    <t>102 (10, 616)</t>
  </si>
  <si>
    <t>51 (1, 940)</t>
  </si>
  <si>
    <t>62 (0, 758)</t>
  </si>
  <si>
    <t>370 (36, 2417)</t>
  </si>
  <si>
    <t>555 (116, 2369)</t>
  </si>
  <si>
    <t>244 (31, 2192)</t>
  </si>
  <si>
    <t>853 (93, 5234)</t>
  </si>
  <si>
    <t>525 (85, 2654)</t>
  </si>
  <si>
    <t>630 (115, 3207)</t>
  </si>
  <si>
    <t>965 (146, 5169)</t>
  </si>
  <si>
    <t>2226 (426, 10162)</t>
  </si>
  <si>
    <t>Europe</t>
  </si>
  <si>
    <t>694 (109, 4805)</t>
  </si>
  <si>
    <t>174 (36, 865)</t>
  </si>
  <si>
    <t>189 (21, 1366)</t>
  </si>
  <si>
    <t>75 (3, 1298)</t>
  </si>
  <si>
    <t>221 (6, 2314)</t>
  </si>
  <si>
    <t>389 (40, 2537)</t>
  </si>
  <si>
    <t>1074 (203, 6351)</t>
  </si>
  <si>
    <t>413 (52, 3435)</t>
  </si>
  <si>
    <t>1149 (150, 6553)</t>
  </si>
  <si>
    <t>1274 (184, 7522)</t>
  </si>
  <si>
    <t>789 (148, 3717)</t>
  </si>
  <si>
    <t>1626 (256, 7620)</t>
  </si>
  <si>
    <t>4048 (685, 16730)</t>
  </si>
  <si>
    <t>South-East Asia</t>
  </si>
  <si>
    <t>343 (57, 1718)</t>
  </si>
  <si>
    <t>122 (27, 464)</t>
  </si>
  <si>
    <t>116 (14, 614)</t>
  </si>
  <si>
    <t>58 (2, 1470)</t>
  </si>
  <si>
    <t>75 (2, 769)</t>
  </si>
  <si>
    <t>439 (46, 3577)</t>
  </si>
  <si>
    <t>603 (128, 2545)</t>
  </si>
  <si>
    <t>278 (48, 3232)</t>
  </si>
  <si>
    <t>995 (135, 7570)</t>
  </si>
  <si>
    <t>586 (135, 2790)</t>
  </si>
  <si>
    <t>741 (166, 4726)</t>
  </si>
  <si>
    <t>1162 (257, 6044)</t>
  </si>
  <si>
    <t>2676 (724, 12011)</t>
  </si>
  <si>
    <t>Western Pacific</t>
  </si>
  <si>
    <t>273 (38, 2164)</t>
  </si>
  <si>
    <t>104 (21, 516)</t>
  </si>
  <si>
    <t>127 (9, 905)</t>
  </si>
  <si>
    <t>94 (3, 4828)</t>
  </si>
  <si>
    <t>112 (3, 1703)</t>
  </si>
  <si>
    <t>1100 (88, 6935)</t>
  </si>
  <si>
    <t>498 (97, 3038)</t>
  </si>
  <si>
    <t>402 (48, 9898)</t>
  </si>
  <si>
    <t>2475 (259, 14316)</t>
  </si>
  <si>
    <t>598 (105, 4189)</t>
  </si>
  <si>
    <t>1623 (286, 10262)</t>
  </si>
  <si>
    <t>2138 (447, 10167)</t>
  </si>
  <si>
    <t>4725 (1157, 21771)</t>
  </si>
  <si>
    <t>Direct medical</t>
  </si>
  <si>
    <t>Direct non-medical</t>
  </si>
  <si>
    <t>Indirect</t>
  </si>
  <si>
    <t>Total</t>
  </si>
  <si>
    <t>Pre-treatment</t>
  </si>
  <si>
    <t>Intensive treatment</t>
  </si>
  <si>
    <t>Continuation treatment</t>
  </si>
  <si>
    <t>All LMICs</t>
  </si>
  <si>
    <t xml:space="preserve">Top 30 TB incidence countries </t>
  </si>
  <si>
    <t>Low-income countries</t>
  </si>
  <si>
    <t>Lower middle-income countries</t>
  </si>
  <si>
    <t>Upper middle-income countries</t>
  </si>
  <si>
    <t>class25</t>
  </si>
  <si>
    <t>L</t>
  </si>
  <si>
    <t>121 (12, 731)</t>
  </si>
  <si>
    <t>78 (12, 372)</t>
  </si>
  <si>
    <t>55 (3, 337)</t>
  </si>
  <si>
    <t>31 (1, 709)</t>
  </si>
  <si>
    <t>10 (0, 163)</t>
  </si>
  <si>
    <t>362 (39, 2532)</t>
  </si>
  <si>
    <t>287 (43, 1389)</t>
  </si>
  <si>
    <t>146 (18, 1580)</t>
  </si>
  <si>
    <t>755 (93, 5095)</t>
  </si>
  <si>
    <t>211 (30, 1060)</t>
  </si>
  <si>
    <t>557 (115, 3039)</t>
  </si>
  <si>
    <t>550 (125, 2288)</t>
  </si>
  <si>
    <t>1428 (357, 5741)</t>
  </si>
  <si>
    <t>LM</t>
  </si>
  <si>
    <t>255 (35, 1288)</t>
  </si>
  <si>
    <t>105 (22, 418)</t>
  </si>
  <si>
    <t>97 (9, 509)</t>
  </si>
  <si>
    <t>54 (2, 1349)</t>
  </si>
  <si>
    <t>49 (1, 415)</t>
  </si>
  <si>
    <t>494 (54, 3820)</t>
  </si>
  <si>
    <t>479 (90, 2032)</t>
  </si>
  <si>
    <t>248 (39, 2870)</t>
  </si>
  <si>
    <t>1073 (149, 7840)</t>
  </si>
  <si>
    <t>448 (81, 1904)</t>
  </si>
  <si>
    <t>773 (168, 4872)</t>
  </si>
  <si>
    <t>1036 (247, 4541)</t>
  </si>
  <si>
    <t>2431 (649, 10170)</t>
  </si>
  <si>
    <t>UM</t>
  </si>
  <si>
    <t>501 (70, 3351)</t>
  </si>
  <si>
    <t>138 (28, 681)</t>
  </si>
  <si>
    <t>166 (16, 1149)</t>
  </si>
  <si>
    <t>93 (4, 2413)</t>
  </si>
  <si>
    <t>204 (13, 2137)</t>
  </si>
  <si>
    <t>663 (65, 4090)</t>
  </si>
  <si>
    <t>803 (143, 4513)</t>
  </si>
  <si>
    <t>440 (61, 5338)</t>
  </si>
  <si>
    <t>1680 (256, 9241)</t>
  </si>
  <si>
    <t>995 (167, 5750)</t>
  </si>
  <si>
    <t>1091 (238, 5930)</t>
  </si>
  <si>
    <t>2015 (450, 8970)</t>
  </si>
  <si>
    <t>4459 (1106, 18075)</t>
  </si>
  <si>
    <t>293 (27, 2338)</t>
  </si>
  <si>
    <t>111 (20, 541)</t>
  </si>
  <si>
    <t>108 (8, 811)</t>
  </si>
  <si>
    <t>62 (2, 1667)</t>
  </si>
  <si>
    <t>74 (0, 1301)</t>
  </si>
  <si>
    <t>526 (53, 3741)</t>
  </si>
  <si>
    <t>536 (79, 3304)</t>
  </si>
  <si>
    <t>286 (34, 3744)</t>
  </si>
  <si>
    <t>1223 (152, 8101)</t>
  </si>
  <si>
    <t>536 (62, 4048)</t>
  </si>
  <si>
    <t>840 (167, 5016)</t>
  </si>
  <si>
    <t>1216 (210, 6889)</t>
  </si>
  <si>
    <t>2827 (573, 14361)</t>
  </si>
  <si>
    <t>213 (20, 1879)</t>
  </si>
  <si>
    <t>98 (16, 486)</t>
  </si>
  <si>
    <t>88 (6, 681)</t>
  </si>
  <si>
    <t>54 (1, 1560)</t>
  </si>
  <si>
    <t>45 (0, 887)</t>
  </si>
  <si>
    <t>533 (53, 3660)</t>
  </si>
  <si>
    <t>424 (61, 2757)</t>
  </si>
  <si>
    <t>244 (28, 3384)</t>
  </si>
  <si>
    <t>1167 (145, 7925)</t>
  </si>
  <si>
    <t>392 (48, 3305)</t>
  </si>
  <si>
    <t>808 (174, 4942)</t>
  </si>
  <si>
    <t>1004 (199, 6257)</t>
  </si>
  <si>
    <t>2408 (555, 13562)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</si>
</sst>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1A6F-DBBE-BD42-AED3-7212B9838CDE}">
  <dimension ref="A1:F17"/>
  <sheetViews>
    <sheetView workbookViewId="0">
      <selection activeCell="Q6" sqref="Q6"/>
    </sheetView>
  </sheetViews>
  <sheetFormatPr baseColWidth="10" defaultRowHeight="16" x14ac:dyDescent="0.2"/>
  <sheetData>
    <row r="1" spans="1:6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7</v>
      </c>
      <c r="C2">
        <v>293</v>
      </c>
      <c r="D2">
        <v>27</v>
      </c>
      <c r="E2">
        <v>2338</v>
      </c>
      <c r="F2" t="s">
        <v>161</v>
      </c>
    </row>
    <row r="3" spans="1:6" x14ac:dyDescent="0.2">
      <c r="A3">
        <v>2</v>
      </c>
      <c r="B3" t="s">
        <v>9</v>
      </c>
      <c r="C3">
        <v>111</v>
      </c>
      <c r="D3">
        <v>20</v>
      </c>
      <c r="E3">
        <v>541</v>
      </c>
      <c r="F3" t="s">
        <v>162</v>
      </c>
    </row>
    <row r="4" spans="1:6" x14ac:dyDescent="0.2">
      <c r="A4">
        <v>3</v>
      </c>
      <c r="B4" t="s">
        <v>11</v>
      </c>
      <c r="C4">
        <v>111</v>
      </c>
      <c r="D4">
        <v>20</v>
      </c>
      <c r="E4">
        <v>541</v>
      </c>
      <c r="F4" t="s">
        <v>162</v>
      </c>
    </row>
    <row r="5" spans="1:6" x14ac:dyDescent="0.2">
      <c r="A5">
        <v>4</v>
      </c>
      <c r="B5" t="s">
        <v>12</v>
      </c>
      <c r="C5">
        <v>108</v>
      </c>
      <c r="D5">
        <v>8</v>
      </c>
      <c r="E5">
        <v>811</v>
      </c>
      <c r="F5" t="s">
        <v>163</v>
      </c>
    </row>
    <row r="6" spans="1:6" x14ac:dyDescent="0.2">
      <c r="A6">
        <v>5</v>
      </c>
      <c r="B6" t="s">
        <v>14</v>
      </c>
      <c r="C6">
        <v>62</v>
      </c>
      <c r="D6">
        <v>2</v>
      </c>
      <c r="E6">
        <v>1667</v>
      </c>
      <c r="F6" t="s">
        <v>164</v>
      </c>
    </row>
    <row r="7" spans="1:6" x14ac:dyDescent="0.2">
      <c r="A7">
        <v>6</v>
      </c>
      <c r="B7" t="s">
        <v>16</v>
      </c>
      <c r="C7">
        <v>62</v>
      </c>
      <c r="D7">
        <v>2</v>
      </c>
      <c r="E7">
        <v>1667</v>
      </c>
      <c r="F7" t="s">
        <v>164</v>
      </c>
    </row>
    <row r="8" spans="1:6" x14ac:dyDescent="0.2">
      <c r="A8">
        <v>7</v>
      </c>
      <c r="B8" t="s">
        <v>17</v>
      </c>
      <c r="C8">
        <v>74</v>
      </c>
      <c r="D8">
        <v>0</v>
      </c>
      <c r="E8">
        <v>1301</v>
      </c>
      <c r="F8" t="s">
        <v>165</v>
      </c>
    </row>
    <row r="9" spans="1:6" x14ac:dyDescent="0.2">
      <c r="A9">
        <v>8</v>
      </c>
      <c r="B9" t="s">
        <v>19</v>
      </c>
      <c r="C9">
        <v>526</v>
      </c>
      <c r="D9">
        <v>53</v>
      </c>
      <c r="E9">
        <v>3741</v>
      </c>
      <c r="F9" t="s">
        <v>166</v>
      </c>
    </row>
    <row r="10" spans="1:6" x14ac:dyDescent="0.2">
      <c r="A10">
        <v>9</v>
      </c>
      <c r="B10" t="s">
        <v>21</v>
      </c>
      <c r="C10">
        <v>526</v>
      </c>
      <c r="D10">
        <v>53</v>
      </c>
      <c r="E10">
        <v>3741</v>
      </c>
      <c r="F10" t="s">
        <v>166</v>
      </c>
    </row>
    <row r="11" spans="1:6" x14ac:dyDescent="0.2">
      <c r="A11">
        <v>10</v>
      </c>
      <c r="B11" t="s">
        <v>22</v>
      </c>
      <c r="C11">
        <v>536</v>
      </c>
      <c r="D11">
        <v>79</v>
      </c>
      <c r="E11">
        <v>3304</v>
      </c>
      <c r="F11" t="s">
        <v>167</v>
      </c>
    </row>
    <row r="12" spans="1:6" x14ac:dyDescent="0.2">
      <c r="A12">
        <v>11</v>
      </c>
      <c r="B12" t="s">
        <v>24</v>
      </c>
      <c r="C12">
        <v>286</v>
      </c>
      <c r="D12">
        <v>34</v>
      </c>
      <c r="E12">
        <v>3744</v>
      </c>
      <c r="F12" t="s">
        <v>168</v>
      </c>
    </row>
    <row r="13" spans="1:6" x14ac:dyDescent="0.2">
      <c r="A13">
        <v>12</v>
      </c>
      <c r="B13" t="s">
        <v>26</v>
      </c>
      <c r="C13">
        <v>1223</v>
      </c>
      <c r="D13">
        <v>152</v>
      </c>
      <c r="E13">
        <v>8101</v>
      </c>
      <c r="F13" t="s">
        <v>169</v>
      </c>
    </row>
    <row r="14" spans="1:6" x14ac:dyDescent="0.2">
      <c r="A14">
        <v>13</v>
      </c>
      <c r="B14" t="s">
        <v>28</v>
      </c>
      <c r="C14">
        <v>536</v>
      </c>
      <c r="D14">
        <v>62</v>
      </c>
      <c r="E14">
        <v>4048</v>
      </c>
      <c r="F14" t="s">
        <v>170</v>
      </c>
    </row>
    <row r="15" spans="1:6" x14ac:dyDescent="0.2">
      <c r="A15">
        <v>14</v>
      </c>
      <c r="B15" t="s">
        <v>30</v>
      </c>
      <c r="C15">
        <v>840</v>
      </c>
      <c r="D15">
        <v>167</v>
      </c>
      <c r="E15">
        <v>5016</v>
      </c>
      <c r="F15" t="s">
        <v>171</v>
      </c>
    </row>
    <row r="16" spans="1:6" x14ac:dyDescent="0.2">
      <c r="A16">
        <v>15</v>
      </c>
      <c r="B16" t="s">
        <v>32</v>
      </c>
      <c r="C16">
        <v>1216</v>
      </c>
      <c r="D16">
        <v>210</v>
      </c>
      <c r="E16">
        <v>6889</v>
      </c>
      <c r="F16" t="s">
        <v>172</v>
      </c>
    </row>
    <row r="17" spans="1:6" x14ac:dyDescent="0.2">
      <c r="A17">
        <v>16</v>
      </c>
      <c r="B17" t="s">
        <v>34</v>
      </c>
      <c r="C17">
        <v>2827</v>
      </c>
      <c r="D17">
        <v>573</v>
      </c>
      <c r="E17">
        <v>14361</v>
      </c>
      <c r="F17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C15C-6CDB-3048-898F-AD34A10D7C65}">
  <dimension ref="A1:F17"/>
  <sheetViews>
    <sheetView workbookViewId="0">
      <selection sqref="A1:F17"/>
    </sheetView>
  </sheetViews>
  <sheetFormatPr baseColWidth="10" defaultRowHeight="16" x14ac:dyDescent="0.2"/>
  <sheetData>
    <row r="1" spans="1:6" x14ac:dyDescent="0.2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 t="s">
        <v>7</v>
      </c>
      <c r="C2" s="1">
        <v>213</v>
      </c>
      <c r="D2" s="1">
        <v>20</v>
      </c>
      <c r="E2" s="1">
        <v>1879</v>
      </c>
      <c r="F2" s="1" t="s">
        <v>174</v>
      </c>
    </row>
    <row r="3" spans="1:6" x14ac:dyDescent="0.2">
      <c r="A3" s="1">
        <v>2</v>
      </c>
      <c r="B3" s="1" t="s">
        <v>9</v>
      </c>
      <c r="C3" s="1">
        <v>98</v>
      </c>
      <c r="D3" s="1">
        <v>16</v>
      </c>
      <c r="E3" s="1">
        <v>486</v>
      </c>
      <c r="F3" s="1" t="s">
        <v>175</v>
      </c>
    </row>
    <row r="4" spans="1:6" x14ac:dyDescent="0.2">
      <c r="A4" s="1">
        <v>3</v>
      </c>
      <c r="B4" s="1" t="s">
        <v>11</v>
      </c>
      <c r="C4" s="1">
        <v>98</v>
      </c>
      <c r="D4" s="1">
        <v>16</v>
      </c>
      <c r="E4" s="1">
        <v>486</v>
      </c>
      <c r="F4" s="1" t="s">
        <v>175</v>
      </c>
    </row>
    <row r="5" spans="1:6" x14ac:dyDescent="0.2">
      <c r="A5" s="1">
        <v>4</v>
      </c>
      <c r="B5" s="1" t="s">
        <v>12</v>
      </c>
      <c r="C5" s="1">
        <v>88</v>
      </c>
      <c r="D5" s="1">
        <v>6</v>
      </c>
      <c r="E5" s="1">
        <v>681</v>
      </c>
      <c r="F5" s="1" t="s">
        <v>176</v>
      </c>
    </row>
    <row r="6" spans="1:6" x14ac:dyDescent="0.2">
      <c r="A6" s="1">
        <v>5</v>
      </c>
      <c r="B6" s="1" t="s">
        <v>14</v>
      </c>
      <c r="C6" s="1">
        <v>54</v>
      </c>
      <c r="D6" s="1">
        <v>1</v>
      </c>
      <c r="E6" s="1">
        <v>1560</v>
      </c>
      <c r="F6" s="1" t="s">
        <v>177</v>
      </c>
    </row>
    <row r="7" spans="1:6" x14ac:dyDescent="0.2">
      <c r="A7" s="1">
        <v>6</v>
      </c>
      <c r="B7" s="1" t="s">
        <v>16</v>
      </c>
      <c r="C7" s="1">
        <v>54</v>
      </c>
      <c r="D7" s="1">
        <v>1</v>
      </c>
      <c r="E7" s="1">
        <v>1560</v>
      </c>
      <c r="F7" s="1" t="s">
        <v>177</v>
      </c>
    </row>
    <row r="8" spans="1:6" x14ac:dyDescent="0.2">
      <c r="A8" s="1">
        <v>7</v>
      </c>
      <c r="B8" s="1" t="s">
        <v>17</v>
      </c>
      <c r="C8" s="1">
        <v>45</v>
      </c>
      <c r="D8" s="1">
        <v>0</v>
      </c>
      <c r="E8" s="1">
        <v>887</v>
      </c>
      <c r="F8" s="1" t="s">
        <v>178</v>
      </c>
    </row>
    <row r="9" spans="1:6" x14ac:dyDescent="0.2">
      <c r="A9" s="1">
        <v>8</v>
      </c>
      <c r="B9" s="1" t="s">
        <v>19</v>
      </c>
      <c r="C9" s="1">
        <v>533</v>
      </c>
      <c r="D9" s="1">
        <v>53</v>
      </c>
      <c r="E9" s="1">
        <v>3660</v>
      </c>
      <c r="F9" s="1" t="s">
        <v>179</v>
      </c>
    </row>
    <row r="10" spans="1:6" x14ac:dyDescent="0.2">
      <c r="A10" s="1">
        <v>9</v>
      </c>
      <c r="B10" s="1" t="s">
        <v>21</v>
      </c>
      <c r="C10" s="1">
        <v>533</v>
      </c>
      <c r="D10" s="1">
        <v>53</v>
      </c>
      <c r="E10" s="1">
        <v>3660</v>
      </c>
      <c r="F10" s="1" t="s">
        <v>179</v>
      </c>
    </row>
    <row r="11" spans="1:6" x14ac:dyDescent="0.2">
      <c r="A11" s="1">
        <v>10</v>
      </c>
      <c r="B11" s="1" t="s">
        <v>22</v>
      </c>
      <c r="C11" s="1">
        <v>424</v>
      </c>
      <c r="D11" s="1">
        <v>61</v>
      </c>
      <c r="E11" s="1">
        <v>2757</v>
      </c>
      <c r="F11" s="1" t="s">
        <v>180</v>
      </c>
    </row>
    <row r="12" spans="1:6" x14ac:dyDescent="0.2">
      <c r="A12" s="1">
        <v>11</v>
      </c>
      <c r="B12" s="1" t="s">
        <v>24</v>
      </c>
      <c r="C12" s="1">
        <v>244</v>
      </c>
      <c r="D12" s="1">
        <v>28</v>
      </c>
      <c r="E12" s="1">
        <v>3384</v>
      </c>
      <c r="F12" s="1" t="s">
        <v>181</v>
      </c>
    </row>
    <row r="13" spans="1:6" x14ac:dyDescent="0.2">
      <c r="A13" s="1">
        <v>12</v>
      </c>
      <c r="B13" s="1" t="s">
        <v>26</v>
      </c>
      <c r="C13" s="1">
        <v>1167</v>
      </c>
      <c r="D13" s="1">
        <v>145</v>
      </c>
      <c r="E13" s="1">
        <v>7925</v>
      </c>
      <c r="F13" s="1" t="s">
        <v>182</v>
      </c>
    </row>
    <row r="14" spans="1:6" x14ac:dyDescent="0.2">
      <c r="A14" s="1">
        <v>13</v>
      </c>
      <c r="B14" s="1" t="s">
        <v>28</v>
      </c>
      <c r="C14" s="1">
        <v>392</v>
      </c>
      <c r="D14" s="1">
        <v>48</v>
      </c>
      <c r="E14" s="1">
        <v>3305</v>
      </c>
      <c r="F14" s="1" t="s">
        <v>183</v>
      </c>
    </row>
    <row r="15" spans="1:6" x14ac:dyDescent="0.2">
      <c r="A15" s="1">
        <v>14</v>
      </c>
      <c r="B15" s="1" t="s">
        <v>30</v>
      </c>
      <c r="C15" s="1">
        <v>808</v>
      </c>
      <c r="D15" s="1">
        <v>174</v>
      </c>
      <c r="E15" s="1">
        <v>4942</v>
      </c>
      <c r="F15" s="1" t="s">
        <v>184</v>
      </c>
    </row>
    <row r="16" spans="1:6" x14ac:dyDescent="0.2">
      <c r="A16" s="1">
        <v>15</v>
      </c>
      <c r="B16" s="1" t="s">
        <v>32</v>
      </c>
      <c r="C16" s="1">
        <v>1004</v>
      </c>
      <c r="D16" s="1">
        <v>199</v>
      </c>
      <c r="E16" s="1">
        <v>6257</v>
      </c>
      <c r="F16" s="1" t="s">
        <v>185</v>
      </c>
    </row>
    <row r="17" spans="1:6" x14ac:dyDescent="0.2">
      <c r="A17" s="1">
        <v>16</v>
      </c>
      <c r="B17" s="1" t="s">
        <v>34</v>
      </c>
      <c r="C17" s="1">
        <v>2408</v>
      </c>
      <c r="D17" s="1">
        <v>555</v>
      </c>
      <c r="E17" s="1">
        <v>13562</v>
      </c>
      <c r="F17" s="1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085C-3AFE-9F4E-BF04-62E1329A636C}">
  <dimension ref="A1:G97"/>
  <sheetViews>
    <sheetView topLeftCell="A10" workbookViewId="0">
      <selection activeCell="C30" sqref="C30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 t="s">
        <v>7</v>
      </c>
      <c r="D2">
        <v>159</v>
      </c>
      <c r="E2">
        <v>16</v>
      </c>
      <c r="F2">
        <v>1584</v>
      </c>
      <c r="G2" t="s">
        <v>8</v>
      </c>
    </row>
    <row r="3" spans="1:7" x14ac:dyDescent="0.2">
      <c r="A3">
        <v>2</v>
      </c>
      <c r="B3" t="s">
        <v>6</v>
      </c>
      <c r="C3" t="s">
        <v>9</v>
      </c>
      <c r="D3">
        <v>85</v>
      </c>
      <c r="E3">
        <v>14</v>
      </c>
      <c r="F3">
        <v>467</v>
      </c>
      <c r="G3" t="s">
        <v>10</v>
      </c>
    </row>
    <row r="4" spans="1:7" x14ac:dyDescent="0.2">
      <c r="A4">
        <v>3</v>
      </c>
      <c r="B4" t="s">
        <v>6</v>
      </c>
      <c r="C4" t="s">
        <v>11</v>
      </c>
      <c r="D4">
        <v>85</v>
      </c>
      <c r="E4">
        <v>14</v>
      </c>
      <c r="F4">
        <v>467</v>
      </c>
      <c r="G4" t="s">
        <v>10</v>
      </c>
    </row>
    <row r="5" spans="1:7" x14ac:dyDescent="0.2">
      <c r="A5">
        <v>4</v>
      </c>
      <c r="B5" t="s">
        <v>6</v>
      </c>
      <c r="C5" t="s">
        <v>12</v>
      </c>
      <c r="D5">
        <v>73</v>
      </c>
      <c r="E5">
        <v>4</v>
      </c>
      <c r="F5">
        <v>581</v>
      </c>
      <c r="G5" t="s">
        <v>13</v>
      </c>
    </row>
    <row r="6" spans="1:7" x14ac:dyDescent="0.2">
      <c r="A6">
        <v>5</v>
      </c>
      <c r="B6" t="s">
        <v>6</v>
      </c>
      <c r="C6" t="s">
        <v>14</v>
      </c>
      <c r="D6">
        <v>46</v>
      </c>
      <c r="E6">
        <v>1</v>
      </c>
      <c r="F6">
        <v>1263</v>
      </c>
      <c r="G6" t="s">
        <v>15</v>
      </c>
    </row>
    <row r="7" spans="1:7" x14ac:dyDescent="0.2">
      <c r="A7">
        <v>6</v>
      </c>
      <c r="B7" t="s">
        <v>6</v>
      </c>
      <c r="C7" t="s">
        <v>16</v>
      </c>
      <c r="D7">
        <v>46</v>
      </c>
      <c r="E7">
        <v>1</v>
      </c>
      <c r="F7">
        <v>1263</v>
      </c>
      <c r="G7" t="s">
        <v>15</v>
      </c>
    </row>
    <row r="8" spans="1:7" x14ac:dyDescent="0.2">
      <c r="A8">
        <v>7</v>
      </c>
      <c r="B8" t="s">
        <v>6</v>
      </c>
      <c r="C8" t="s">
        <v>17</v>
      </c>
      <c r="D8">
        <v>26</v>
      </c>
      <c r="E8">
        <v>0</v>
      </c>
      <c r="F8">
        <v>594</v>
      </c>
      <c r="G8" t="s">
        <v>18</v>
      </c>
    </row>
    <row r="9" spans="1:7" x14ac:dyDescent="0.2">
      <c r="A9">
        <v>8</v>
      </c>
      <c r="B9" t="s">
        <v>6</v>
      </c>
      <c r="C9" t="s">
        <v>19</v>
      </c>
      <c r="D9">
        <v>510</v>
      </c>
      <c r="E9">
        <v>60</v>
      </c>
      <c r="F9">
        <v>3432</v>
      </c>
      <c r="G9" t="s">
        <v>20</v>
      </c>
    </row>
    <row r="10" spans="1:7" x14ac:dyDescent="0.2">
      <c r="A10">
        <v>9</v>
      </c>
      <c r="B10" t="s">
        <v>6</v>
      </c>
      <c r="C10" t="s">
        <v>21</v>
      </c>
      <c r="D10">
        <v>510</v>
      </c>
      <c r="E10">
        <v>60</v>
      </c>
      <c r="F10">
        <v>3432</v>
      </c>
      <c r="G10" t="s">
        <v>20</v>
      </c>
    </row>
    <row r="11" spans="1:7" x14ac:dyDescent="0.2">
      <c r="A11">
        <v>10</v>
      </c>
      <c r="B11" t="s">
        <v>6</v>
      </c>
      <c r="C11" t="s">
        <v>22</v>
      </c>
      <c r="D11">
        <v>341</v>
      </c>
      <c r="E11">
        <v>51</v>
      </c>
      <c r="F11">
        <v>2415</v>
      </c>
      <c r="G11" t="s">
        <v>23</v>
      </c>
    </row>
    <row r="12" spans="1:7" x14ac:dyDescent="0.2">
      <c r="A12">
        <v>11</v>
      </c>
      <c r="B12" t="s">
        <v>6</v>
      </c>
      <c r="C12" t="s">
        <v>24</v>
      </c>
      <c r="D12">
        <v>207</v>
      </c>
      <c r="E12">
        <v>24</v>
      </c>
      <c r="F12">
        <v>2820</v>
      </c>
      <c r="G12" t="s">
        <v>25</v>
      </c>
    </row>
    <row r="13" spans="1:7" x14ac:dyDescent="0.2">
      <c r="A13">
        <v>12</v>
      </c>
      <c r="B13" t="s">
        <v>6</v>
      </c>
      <c r="C13" t="s">
        <v>26</v>
      </c>
      <c r="D13">
        <v>1092</v>
      </c>
      <c r="E13">
        <v>150</v>
      </c>
      <c r="F13">
        <v>7165</v>
      </c>
      <c r="G13" t="s">
        <v>27</v>
      </c>
    </row>
    <row r="14" spans="1:7" x14ac:dyDescent="0.2">
      <c r="A14">
        <v>13</v>
      </c>
      <c r="B14" t="s">
        <v>6</v>
      </c>
      <c r="C14" t="s">
        <v>28</v>
      </c>
      <c r="D14">
        <v>293</v>
      </c>
      <c r="E14">
        <v>38</v>
      </c>
      <c r="F14">
        <v>2656</v>
      </c>
      <c r="G14" t="s">
        <v>29</v>
      </c>
    </row>
    <row r="15" spans="1:7" x14ac:dyDescent="0.2">
      <c r="A15">
        <v>14</v>
      </c>
      <c r="B15" t="s">
        <v>6</v>
      </c>
      <c r="C15" t="s">
        <v>30</v>
      </c>
      <c r="D15">
        <v>765</v>
      </c>
      <c r="E15">
        <v>168</v>
      </c>
      <c r="F15">
        <v>4422</v>
      </c>
      <c r="G15" t="s">
        <v>31</v>
      </c>
    </row>
    <row r="16" spans="1:7" x14ac:dyDescent="0.2">
      <c r="A16">
        <v>15</v>
      </c>
      <c r="B16" t="s">
        <v>6</v>
      </c>
      <c r="C16" t="s">
        <v>32</v>
      </c>
      <c r="D16">
        <v>832</v>
      </c>
      <c r="E16">
        <v>177</v>
      </c>
      <c r="F16">
        <v>4800</v>
      </c>
      <c r="G16" t="s">
        <v>33</v>
      </c>
    </row>
    <row r="17" spans="1:7" x14ac:dyDescent="0.2">
      <c r="A17">
        <v>16</v>
      </c>
      <c r="B17" t="s">
        <v>6</v>
      </c>
      <c r="C17" t="s">
        <v>34</v>
      </c>
      <c r="D17">
        <v>2048</v>
      </c>
      <c r="E17">
        <v>492</v>
      </c>
      <c r="F17">
        <v>10644</v>
      </c>
      <c r="G17" t="s">
        <v>35</v>
      </c>
    </row>
    <row r="18" spans="1:7" x14ac:dyDescent="0.2">
      <c r="A18">
        <v>17</v>
      </c>
      <c r="B18" t="s">
        <v>36</v>
      </c>
      <c r="C18" t="s">
        <v>7</v>
      </c>
      <c r="D18">
        <v>412</v>
      </c>
      <c r="E18">
        <v>85</v>
      </c>
      <c r="F18">
        <v>2143</v>
      </c>
      <c r="G18" t="s">
        <v>37</v>
      </c>
    </row>
    <row r="19" spans="1:7" x14ac:dyDescent="0.2">
      <c r="A19">
        <v>18</v>
      </c>
      <c r="B19" t="s">
        <v>36</v>
      </c>
      <c r="C19" t="s">
        <v>9</v>
      </c>
      <c r="D19">
        <v>123</v>
      </c>
      <c r="E19">
        <v>32</v>
      </c>
      <c r="F19">
        <v>497</v>
      </c>
      <c r="G19" t="s">
        <v>38</v>
      </c>
    </row>
    <row r="20" spans="1:7" x14ac:dyDescent="0.2">
      <c r="A20">
        <v>19</v>
      </c>
      <c r="B20" t="s">
        <v>36</v>
      </c>
      <c r="C20" t="s">
        <v>11</v>
      </c>
      <c r="D20">
        <v>123</v>
      </c>
      <c r="E20">
        <v>32</v>
      </c>
      <c r="F20">
        <v>497</v>
      </c>
      <c r="G20" t="s">
        <v>38</v>
      </c>
    </row>
    <row r="21" spans="1:7" x14ac:dyDescent="0.2">
      <c r="A21">
        <v>20</v>
      </c>
      <c r="B21" t="s">
        <v>36</v>
      </c>
      <c r="C21" t="s">
        <v>12</v>
      </c>
      <c r="D21">
        <v>139</v>
      </c>
      <c r="E21">
        <v>17</v>
      </c>
      <c r="F21">
        <v>849</v>
      </c>
      <c r="G21" t="s">
        <v>39</v>
      </c>
    </row>
    <row r="22" spans="1:7" x14ac:dyDescent="0.2">
      <c r="A22">
        <v>21</v>
      </c>
      <c r="B22" t="s">
        <v>36</v>
      </c>
      <c r="C22" t="s">
        <v>14</v>
      </c>
      <c r="D22">
        <v>83</v>
      </c>
      <c r="E22">
        <v>4</v>
      </c>
      <c r="F22">
        <v>1753</v>
      </c>
      <c r="G22" t="s">
        <v>40</v>
      </c>
    </row>
    <row r="23" spans="1:7" x14ac:dyDescent="0.2">
      <c r="A23">
        <v>22</v>
      </c>
      <c r="B23" t="s">
        <v>36</v>
      </c>
      <c r="C23" t="s">
        <v>16</v>
      </c>
      <c r="D23">
        <v>83</v>
      </c>
      <c r="E23">
        <v>4</v>
      </c>
      <c r="F23">
        <v>1753</v>
      </c>
      <c r="G23" t="s">
        <v>40</v>
      </c>
    </row>
    <row r="24" spans="1:7" x14ac:dyDescent="0.2">
      <c r="A24">
        <v>23</v>
      </c>
      <c r="B24" t="s">
        <v>36</v>
      </c>
      <c r="C24" t="s">
        <v>17</v>
      </c>
      <c r="D24">
        <v>156</v>
      </c>
      <c r="E24">
        <v>8</v>
      </c>
      <c r="F24">
        <v>1563</v>
      </c>
      <c r="G24" t="s">
        <v>41</v>
      </c>
    </row>
    <row r="25" spans="1:7" x14ac:dyDescent="0.2">
      <c r="A25">
        <v>24</v>
      </c>
      <c r="B25" t="s">
        <v>36</v>
      </c>
      <c r="C25" t="s">
        <v>19</v>
      </c>
      <c r="D25">
        <v>621</v>
      </c>
      <c r="E25">
        <v>78</v>
      </c>
      <c r="F25">
        <v>2887</v>
      </c>
      <c r="G25" t="s">
        <v>42</v>
      </c>
    </row>
    <row r="26" spans="1:7" x14ac:dyDescent="0.2">
      <c r="A26">
        <v>25</v>
      </c>
      <c r="B26" t="s">
        <v>36</v>
      </c>
      <c r="C26" t="s">
        <v>21</v>
      </c>
      <c r="D26">
        <v>621</v>
      </c>
      <c r="E26">
        <v>78</v>
      </c>
      <c r="F26">
        <v>2887</v>
      </c>
      <c r="G26" t="s">
        <v>42</v>
      </c>
    </row>
    <row r="27" spans="1:7" x14ac:dyDescent="0.2">
      <c r="A27">
        <v>26</v>
      </c>
      <c r="B27" t="s">
        <v>36</v>
      </c>
      <c r="C27" t="s">
        <v>22</v>
      </c>
      <c r="D27">
        <v>682</v>
      </c>
      <c r="E27">
        <v>166</v>
      </c>
      <c r="F27">
        <v>2982</v>
      </c>
      <c r="G27" t="s">
        <v>43</v>
      </c>
    </row>
    <row r="28" spans="1:7" x14ac:dyDescent="0.2">
      <c r="A28">
        <v>27</v>
      </c>
      <c r="B28" t="s">
        <v>36</v>
      </c>
      <c r="C28" t="s">
        <v>24</v>
      </c>
      <c r="D28">
        <v>369</v>
      </c>
      <c r="E28">
        <v>57</v>
      </c>
      <c r="F28">
        <v>3857</v>
      </c>
      <c r="G28" t="s">
        <v>44</v>
      </c>
    </row>
    <row r="29" spans="1:7" x14ac:dyDescent="0.2">
      <c r="A29">
        <v>28</v>
      </c>
      <c r="B29" t="s">
        <v>36</v>
      </c>
      <c r="C29" t="s">
        <v>26</v>
      </c>
      <c r="D29">
        <v>1499</v>
      </c>
      <c r="E29">
        <v>247</v>
      </c>
      <c r="F29">
        <v>6689</v>
      </c>
      <c r="G29" t="s">
        <v>45</v>
      </c>
    </row>
    <row r="30" spans="1:7" x14ac:dyDescent="0.2">
      <c r="A30">
        <v>29</v>
      </c>
      <c r="B30" t="s">
        <v>36</v>
      </c>
      <c r="C30" t="s">
        <v>28</v>
      </c>
      <c r="D30">
        <v>790</v>
      </c>
      <c r="E30">
        <v>169</v>
      </c>
      <c r="F30">
        <v>3871</v>
      </c>
      <c r="G30" t="s">
        <v>46</v>
      </c>
    </row>
    <row r="31" spans="1:7" x14ac:dyDescent="0.2">
      <c r="A31">
        <v>30</v>
      </c>
      <c r="B31" t="s">
        <v>36</v>
      </c>
      <c r="C31" t="s">
        <v>30</v>
      </c>
      <c r="D31">
        <v>968</v>
      </c>
      <c r="E31">
        <v>232</v>
      </c>
      <c r="F31">
        <v>4077</v>
      </c>
      <c r="G31" t="s">
        <v>47</v>
      </c>
    </row>
    <row r="32" spans="1:7" x14ac:dyDescent="0.2">
      <c r="A32">
        <v>31</v>
      </c>
      <c r="B32" t="s">
        <v>36</v>
      </c>
      <c r="C32" t="s">
        <v>32</v>
      </c>
      <c r="D32">
        <v>1734</v>
      </c>
      <c r="E32">
        <v>377</v>
      </c>
      <c r="F32">
        <v>7286</v>
      </c>
      <c r="G32" t="s">
        <v>48</v>
      </c>
    </row>
    <row r="33" spans="1:7" x14ac:dyDescent="0.2">
      <c r="A33">
        <v>32</v>
      </c>
      <c r="B33" t="s">
        <v>36</v>
      </c>
      <c r="C33" t="s">
        <v>34</v>
      </c>
      <c r="D33">
        <v>3693</v>
      </c>
      <c r="E33">
        <v>886</v>
      </c>
      <c r="F33">
        <v>13983</v>
      </c>
      <c r="G33" t="s">
        <v>49</v>
      </c>
    </row>
    <row r="34" spans="1:7" x14ac:dyDescent="0.2">
      <c r="A34">
        <v>33</v>
      </c>
      <c r="B34" t="s">
        <v>50</v>
      </c>
      <c r="C34" t="s">
        <v>7</v>
      </c>
      <c r="D34">
        <v>304</v>
      </c>
      <c r="E34">
        <v>46</v>
      </c>
      <c r="F34">
        <v>1618</v>
      </c>
      <c r="G34" t="s">
        <v>51</v>
      </c>
    </row>
    <row r="35" spans="1:7" x14ac:dyDescent="0.2">
      <c r="A35">
        <v>34</v>
      </c>
      <c r="B35" t="s">
        <v>50</v>
      </c>
      <c r="C35" t="s">
        <v>9</v>
      </c>
      <c r="D35">
        <v>115</v>
      </c>
      <c r="E35">
        <v>27</v>
      </c>
      <c r="F35">
        <v>453</v>
      </c>
      <c r="G35" t="s">
        <v>52</v>
      </c>
    </row>
    <row r="36" spans="1:7" x14ac:dyDescent="0.2">
      <c r="A36">
        <v>35</v>
      </c>
      <c r="B36" t="s">
        <v>50</v>
      </c>
      <c r="C36" t="s">
        <v>11</v>
      </c>
      <c r="D36">
        <v>115</v>
      </c>
      <c r="E36">
        <v>27</v>
      </c>
      <c r="F36">
        <v>453</v>
      </c>
      <c r="G36" t="s">
        <v>52</v>
      </c>
    </row>
    <row r="37" spans="1:7" x14ac:dyDescent="0.2">
      <c r="A37">
        <v>36</v>
      </c>
      <c r="B37" t="s">
        <v>50</v>
      </c>
      <c r="C37" t="s">
        <v>12</v>
      </c>
      <c r="D37">
        <v>102</v>
      </c>
      <c r="E37">
        <v>10</v>
      </c>
      <c r="F37">
        <v>616</v>
      </c>
      <c r="G37" t="s">
        <v>53</v>
      </c>
    </row>
    <row r="38" spans="1:7" x14ac:dyDescent="0.2">
      <c r="A38">
        <v>37</v>
      </c>
      <c r="B38" t="s">
        <v>50</v>
      </c>
      <c r="C38" t="s">
        <v>14</v>
      </c>
      <c r="D38">
        <v>51</v>
      </c>
      <c r="E38">
        <v>1</v>
      </c>
      <c r="F38">
        <v>940</v>
      </c>
      <c r="G38" t="s">
        <v>54</v>
      </c>
    </row>
    <row r="39" spans="1:7" x14ac:dyDescent="0.2">
      <c r="A39">
        <v>38</v>
      </c>
      <c r="B39" t="s">
        <v>50</v>
      </c>
      <c r="C39" t="s">
        <v>16</v>
      </c>
      <c r="D39">
        <v>51</v>
      </c>
      <c r="E39">
        <v>1</v>
      </c>
      <c r="F39">
        <v>940</v>
      </c>
      <c r="G39" t="s">
        <v>54</v>
      </c>
    </row>
    <row r="40" spans="1:7" x14ac:dyDescent="0.2">
      <c r="A40">
        <v>39</v>
      </c>
      <c r="B40" t="s">
        <v>50</v>
      </c>
      <c r="C40" t="s">
        <v>17</v>
      </c>
      <c r="D40">
        <v>62</v>
      </c>
      <c r="E40">
        <v>0</v>
      </c>
      <c r="F40">
        <v>758</v>
      </c>
      <c r="G40" t="s">
        <v>55</v>
      </c>
    </row>
    <row r="41" spans="1:7" x14ac:dyDescent="0.2">
      <c r="A41">
        <v>40</v>
      </c>
      <c r="B41" t="s">
        <v>50</v>
      </c>
      <c r="C41" t="s">
        <v>19</v>
      </c>
      <c r="D41">
        <v>370</v>
      </c>
      <c r="E41">
        <v>36</v>
      </c>
      <c r="F41">
        <v>2417</v>
      </c>
      <c r="G41" t="s">
        <v>56</v>
      </c>
    </row>
    <row r="42" spans="1:7" x14ac:dyDescent="0.2">
      <c r="A42">
        <v>41</v>
      </c>
      <c r="B42" t="s">
        <v>50</v>
      </c>
      <c r="C42" t="s">
        <v>21</v>
      </c>
      <c r="D42">
        <v>370</v>
      </c>
      <c r="E42">
        <v>36</v>
      </c>
      <c r="F42">
        <v>2417</v>
      </c>
      <c r="G42" t="s">
        <v>56</v>
      </c>
    </row>
    <row r="43" spans="1:7" x14ac:dyDescent="0.2">
      <c r="A43">
        <v>42</v>
      </c>
      <c r="B43" t="s">
        <v>50</v>
      </c>
      <c r="C43" t="s">
        <v>22</v>
      </c>
      <c r="D43">
        <v>555</v>
      </c>
      <c r="E43">
        <v>116</v>
      </c>
      <c r="F43">
        <v>2369</v>
      </c>
      <c r="G43" t="s">
        <v>57</v>
      </c>
    </row>
    <row r="44" spans="1:7" x14ac:dyDescent="0.2">
      <c r="A44">
        <v>43</v>
      </c>
      <c r="B44" t="s">
        <v>50</v>
      </c>
      <c r="C44" t="s">
        <v>24</v>
      </c>
      <c r="D44">
        <v>244</v>
      </c>
      <c r="E44">
        <v>31</v>
      </c>
      <c r="F44">
        <v>2192</v>
      </c>
      <c r="G44" t="s">
        <v>58</v>
      </c>
    </row>
    <row r="45" spans="1:7" x14ac:dyDescent="0.2">
      <c r="A45">
        <v>44</v>
      </c>
      <c r="B45" t="s">
        <v>50</v>
      </c>
      <c r="C45" t="s">
        <v>26</v>
      </c>
      <c r="D45">
        <v>853</v>
      </c>
      <c r="E45">
        <v>93</v>
      </c>
      <c r="F45">
        <v>5234</v>
      </c>
      <c r="G45" t="s">
        <v>59</v>
      </c>
    </row>
    <row r="46" spans="1:7" x14ac:dyDescent="0.2">
      <c r="A46">
        <v>45</v>
      </c>
      <c r="B46" t="s">
        <v>50</v>
      </c>
      <c r="C46" t="s">
        <v>28</v>
      </c>
      <c r="D46">
        <v>525</v>
      </c>
      <c r="E46">
        <v>85</v>
      </c>
      <c r="F46">
        <v>2654</v>
      </c>
      <c r="G46" t="s">
        <v>60</v>
      </c>
    </row>
    <row r="47" spans="1:7" x14ac:dyDescent="0.2">
      <c r="A47">
        <v>46</v>
      </c>
      <c r="B47" t="s">
        <v>50</v>
      </c>
      <c r="C47" t="s">
        <v>30</v>
      </c>
      <c r="D47">
        <v>630</v>
      </c>
      <c r="E47">
        <v>115</v>
      </c>
      <c r="F47">
        <v>3207</v>
      </c>
      <c r="G47" t="s">
        <v>61</v>
      </c>
    </row>
    <row r="48" spans="1:7" x14ac:dyDescent="0.2">
      <c r="A48">
        <v>47</v>
      </c>
      <c r="B48" t="s">
        <v>50</v>
      </c>
      <c r="C48" t="s">
        <v>32</v>
      </c>
      <c r="D48">
        <v>965</v>
      </c>
      <c r="E48">
        <v>146</v>
      </c>
      <c r="F48">
        <v>5169</v>
      </c>
      <c r="G48" t="s">
        <v>62</v>
      </c>
    </row>
    <row r="49" spans="1:7" x14ac:dyDescent="0.2">
      <c r="A49">
        <v>48</v>
      </c>
      <c r="B49" t="s">
        <v>50</v>
      </c>
      <c r="C49" t="s">
        <v>34</v>
      </c>
      <c r="D49">
        <v>2226</v>
      </c>
      <c r="E49">
        <v>426</v>
      </c>
      <c r="F49">
        <v>10162</v>
      </c>
      <c r="G49" t="s">
        <v>63</v>
      </c>
    </row>
    <row r="50" spans="1:7" x14ac:dyDescent="0.2">
      <c r="A50">
        <v>49</v>
      </c>
      <c r="B50" t="s">
        <v>64</v>
      </c>
      <c r="C50" t="s">
        <v>7</v>
      </c>
      <c r="D50">
        <v>694</v>
      </c>
      <c r="E50">
        <v>109</v>
      </c>
      <c r="F50">
        <v>4805</v>
      </c>
      <c r="G50" t="s">
        <v>65</v>
      </c>
    </row>
    <row r="51" spans="1:7" x14ac:dyDescent="0.2">
      <c r="A51">
        <v>50</v>
      </c>
      <c r="B51" t="s">
        <v>64</v>
      </c>
      <c r="C51" t="s">
        <v>9</v>
      </c>
      <c r="D51">
        <v>174</v>
      </c>
      <c r="E51">
        <v>36</v>
      </c>
      <c r="F51">
        <v>865</v>
      </c>
      <c r="G51" t="s">
        <v>66</v>
      </c>
    </row>
    <row r="52" spans="1:7" x14ac:dyDescent="0.2">
      <c r="A52">
        <v>51</v>
      </c>
      <c r="B52" t="s">
        <v>64</v>
      </c>
      <c r="C52" t="s">
        <v>11</v>
      </c>
      <c r="D52">
        <v>174</v>
      </c>
      <c r="E52">
        <v>36</v>
      </c>
      <c r="F52">
        <v>865</v>
      </c>
      <c r="G52" t="s">
        <v>66</v>
      </c>
    </row>
    <row r="53" spans="1:7" x14ac:dyDescent="0.2">
      <c r="A53">
        <v>52</v>
      </c>
      <c r="B53" t="s">
        <v>64</v>
      </c>
      <c r="C53" t="s">
        <v>12</v>
      </c>
      <c r="D53">
        <v>189</v>
      </c>
      <c r="E53">
        <v>21</v>
      </c>
      <c r="F53">
        <v>1366</v>
      </c>
      <c r="G53" t="s">
        <v>67</v>
      </c>
    </row>
    <row r="54" spans="1:7" x14ac:dyDescent="0.2">
      <c r="A54">
        <v>53</v>
      </c>
      <c r="B54" t="s">
        <v>64</v>
      </c>
      <c r="C54" t="s">
        <v>14</v>
      </c>
      <c r="D54">
        <v>75</v>
      </c>
      <c r="E54">
        <v>3</v>
      </c>
      <c r="F54">
        <v>1298</v>
      </c>
      <c r="G54" t="s">
        <v>68</v>
      </c>
    </row>
    <row r="55" spans="1:7" x14ac:dyDescent="0.2">
      <c r="A55">
        <v>54</v>
      </c>
      <c r="B55" t="s">
        <v>64</v>
      </c>
      <c r="C55" t="s">
        <v>16</v>
      </c>
      <c r="D55">
        <v>75</v>
      </c>
      <c r="E55">
        <v>3</v>
      </c>
      <c r="F55">
        <v>1298</v>
      </c>
      <c r="G55" t="s">
        <v>68</v>
      </c>
    </row>
    <row r="56" spans="1:7" x14ac:dyDescent="0.2">
      <c r="A56">
        <v>55</v>
      </c>
      <c r="B56" t="s">
        <v>64</v>
      </c>
      <c r="C56" t="s">
        <v>17</v>
      </c>
      <c r="D56">
        <v>221</v>
      </c>
      <c r="E56">
        <v>6</v>
      </c>
      <c r="F56">
        <v>2314</v>
      </c>
      <c r="G56" t="s">
        <v>69</v>
      </c>
    </row>
    <row r="57" spans="1:7" x14ac:dyDescent="0.2">
      <c r="A57">
        <v>56</v>
      </c>
      <c r="B57" t="s">
        <v>64</v>
      </c>
      <c r="C57" t="s">
        <v>19</v>
      </c>
      <c r="D57">
        <v>389</v>
      </c>
      <c r="E57">
        <v>40</v>
      </c>
      <c r="F57">
        <v>2537</v>
      </c>
      <c r="G57" t="s">
        <v>70</v>
      </c>
    </row>
    <row r="58" spans="1:7" x14ac:dyDescent="0.2">
      <c r="A58">
        <v>57</v>
      </c>
      <c r="B58" t="s">
        <v>64</v>
      </c>
      <c r="C58" t="s">
        <v>21</v>
      </c>
      <c r="D58">
        <v>389</v>
      </c>
      <c r="E58">
        <v>40</v>
      </c>
      <c r="F58">
        <v>2537</v>
      </c>
      <c r="G58" t="s">
        <v>70</v>
      </c>
    </row>
    <row r="59" spans="1:7" x14ac:dyDescent="0.2">
      <c r="A59">
        <v>58</v>
      </c>
      <c r="B59" t="s">
        <v>64</v>
      </c>
      <c r="C59" t="s">
        <v>22</v>
      </c>
      <c r="D59">
        <v>1074</v>
      </c>
      <c r="E59">
        <v>203</v>
      </c>
      <c r="F59">
        <v>6351</v>
      </c>
      <c r="G59" t="s">
        <v>71</v>
      </c>
    </row>
    <row r="60" spans="1:7" x14ac:dyDescent="0.2">
      <c r="A60">
        <v>59</v>
      </c>
      <c r="B60" t="s">
        <v>64</v>
      </c>
      <c r="C60" t="s">
        <v>24</v>
      </c>
      <c r="D60">
        <v>413</v>
      </c>
      <c r="E60">
        <v>52</v>
      </c>
      <c r="F60">
        <v>3435</v>
      </c>
      <c r="G60" t="s">
        <v>72</v>
      </c>
    </row>
    <row r="61" spans="1:7" x14ac:dyDescent="0.2">
      <c r="A61">
        <v>60</v>
      </c>
      <c r="B61" t="s">
        <v>64</v>
      </c>
      <c r="C61" t="s">
        <v>26</v>
      </c>
      <c r="D61">
        <v>1149</v>
      </c>
      <c r="E61">
        <v>150</v>
      </c>
      <c r="F61">
        <v>6553</v>
      </c>
      <c r="G61" t="s">
        <v>73</v>
      </c>
    </row>
    <row r="62" spans="1:7" x14ac:dyDescent="0.2">
      <c r="A62">
        <v>61</v>
      </c>
      <c r="B62" t="s">
        <v>64</v>
      </c>
      <c r="C62" t="s">
        <v>28</v>
      </c>
      <c r="D62">
        <v>1274</v>
      </c>
      <c r="E62">
        <v>184</v>
      </c>
      <c r="F62">
        <v>7522</v>
      </c>
      <c r="G62" t="s">
        <v>74</v>
      </c>
    </row>
    <row r="63" spans="1:7" x14ac:dyDescent="0.2">
      <c r="A63">
        <v>62</v>
      </c>
      <c r="B63" t="s">
        <v>64</v>
      </c>
      <c r="C63" t="s">
        <v>30</v>
      </c>
      <c r="D63">
        <v>789</v>
      </c>
      <c r="E63">
        <v>148</v>
      </c>
      <c r="F63">
        <v>3717</v>
      </c>
      <c r="G63" t="s">
        <v>75</v>
      </c>
    </row>
    <row r="64" spans="1:7" x14ac:dyDescent="0.2">
      <c r="A64">
        <v>63</v>
      </c>
      <c r="B64" t="s">
        <v>64</v>
      </c>
      <c r="C64" t="s">
        <v>32</v>
      </c>
      <c r="D64">
        <v>1626</v>
      </c>
      <c r="E64">
        <v>256</v>
      </c>
      <c r="F64">
        <v>7620</v>
      </c>
      <c r="G64" t="s">
        <v>76</v>
      </c>
    </row>
    <row r="65" spans="1:7" x14ac:dyDescent="0.2">
      <c r="A65">
        <v>64</v>
      </c>
      <c r="B65" t="s">
        <v>64</v>
      </c>
      <c r="C65" t="s">
        <v>34</v>
      </c>
      <c r="D65">
        <v>4048</v>
      </c>
      <c r="E65">
        <v>685</v>
      </c>
      <c r="F65">
        <v>16730</v>
      </c>
      <c r="G65" t="s">
        <v>77</v>
      </c>
    </row>
    <row r="66" spans="1:7" x14ac:dyDescent="0.2">
      <c r="A66">
        <v>65</v>
      </c>
      <c r="B66" t="s">
        <v>78</v>
      </c>
      <c r="C66" t="s">
        <v>7</v>
      </c>
      <c r="D66">
        <v>343</v>
      </c>
      <c r="E66">
        <v>57</v>
      </c>
      <c r="F66">
        <v>1718</v>
      </c>
      <c r="G66" t="s">
        <v>79</v>
      </c>
    </row>
    <row r="67" spans="1:7" x14ac:dyDescent="0.2">
      <c r="A67">
        <v>66</v>
      </c>
      <c r="B67" t="s">
        <v>78</v>
      </c>
      <c r="C67" t="s">
        <v>9</v>
      </c>
      <c r="D67">
        <v>122</v>
      </c>
      <c r="E67">
        <v>27</v>
      </c>
      <c r="F67">
        <v>464</v>
      </c>
      <c r="G67" t="s">
        <v>80</v>
      </c>
    </row>
    <row r="68" spans="1:7" x14ac:dyDescent="0.2">
      <c r="A68">
        <v>67</v>
      </c>
      <c r="B68" t="s">
        <v>78</v>
      </c>
      <c r="C68" t="s">
        <v>11</v>
      </c>
      <c r="D68">
        <v>122</v>
      </c>
      <c r="E68">
        <v>27</v>
      </c>
      <c r="F68">
        <v>464</v>
      </c>
      <c r="G68" t="s">
        <v>80</v>
      </c>
    </row>
    <row r="69" spans="1:7" x14ac:dyDescent="0.2">
      <c r="A69">
        <v>68</v>
      </c>
      <c r="B69" t="s">
        <v>78</v>
      </c>
      <c r="C69" t="s">
        <v>12</v>
      </c>
      <c r="D69">
        <v>116</v>
      </c>
      <c r="E69">
        <v>14</v>
      </c>
      <c r="F69">
        <v>614</v>
      </c>
      <c r="G69" t="s">
        <v>81</v>
      </c>
    </row>
    <row r="70" spans="1:7" x14ac:dyDescent="0.2">
      <c r="A70">
        <v>69</v>
      </c>
      <c r="B70" t="s">
        <v>78</v>
      </c>
      <c r="C70" t="s">
        <v>14</v>
      </c>
      <c r="D70">
        <v>58</v>
      </c>
      <c r="E70">
        <v>2</v>
      </c>
      <c r="F70">
        <v>1470</v>
      </c>
      <c r="G70" t="s">
        <v>82</v>
      </c>
    </row>
    <row r="71" spans="1:7" x14ac:dyDescent="0.2">
      <c r="A71">
        <v>70</v>
      </c>
      <c r="B71" t="s">
        <v>78</v>
      </c>
      <c r="C71" t="s">
        <v>16</v>
      </c>
      <c r="D71">
        <v>58</v>
      </c>
      <c r="E71">
        <v>2</v>
      </c>
      <c r="F71">
        <v>1470</v>
      </c>
      <c r="G71" t="s">
        <v>82</v>
      </c>
    </row>
    <row r="72" spans="1:7" x14ac:dyDescent="0.2">
      <c r="A72">
        <v>71</v>
      </c>
      <c r="B72" t="s">
        <v>78</v>
      </c>
      <c r="C72" t="s">
        <v>17</v>
      </c>
      <c r="D72">
        <v>75</v>
      </c>
      <c r="E72">
        <v>2</v>
      </c>
      <c r="F72">
        <v>769</v>
      </c>
      <c r="G72" t="s">
        <v>83</v>
      </c>
    </row>
    <row r="73" spans="1:7" x14ac:dyDescent="0.2">
      <c r="A73">
        <v>72</v>
      </c>
      <c r="B73" t="s">
        <v>78</v>
      </c>
      <c r="C73" t="s">
        <v>19</v>
      </c>
      <c r="D73">
        <v>439</v>
      </c>
      <c r="E73">
        <v>46</v>
      </c>
      <c r="F73">
        <v>3577</v>
      </c>
      <c r="G73" t="s">
        <v>84</v>
      </c>
    </row>
    <row r="74" spans="1:7" x14ac:dyDescent="0.2">
      <c r="A74">
        <v>73</v>
      </c>
      <c r="B74" t="s">
        <v>78</v>
      </c>
      <c r="C74" t="s">
        <v>21</v>
      </c>
      <c r="D74">
        <v>439</v>
      </c>
      <c r="E74">
        <v>46</v>
      </c>
      <c r="F74">
        <v>3577</v>
      </c>
      <c r="G74" t="s">
        <v>84</v>
      </c>
    </row>
    <row r="75" spans="1:7" x14ac:dyDescent="0.2">
      <c r="A75">
        <v>74</v>
      </c>
      <c r="B75" t="s">
        <v>78</v>
      </c>
      <c r="C75" t="s">
        <v>22</v>
      </c>
      <c r="D75">
        <v>603</v>
      </c>
      <c r="E75">
        <v>128</v>
      </c>
      <c r="F75">
        <v>2545</v>
      </c>
      <c r="G75" t="s">
        <v>85</v>
      </c>
    </row>
    <row r="76" spans="1:7" x14ac:dyDescent="0.2">
      <c r="A76">
        <v>75</v>
      </c>
      <c r="B76" t="s">
        <v>78</v>
      </c>
      <c r="C76" t="s">
        <v>24</v>
      </c>
      <c r="D76">
        <v>278</v>
      </c>
      <c r="E76">
        <v>48</v>
      </c>
      <c r="F76">
        <v>3232</v>
      </c>
      <c r="G76" t="s">
        <v>86</v>
      </c>
    </row>
    <row r="77" spans="1:7" x14ac:dyDescent="0.2">
      <c r="A77">
        <v>76</v>
      </c>
      <c r="B77" t="s">
        <v>78</v>
      </c>
      <c r="C77" t="s">
        <v>26</v>
      </c>
      <c r="D77">
        <v>995</v>
      </c>
      <c r="E77">
        <v>135</v>
      </c>
      <c r="F77">
        <v>7570</v>
      </c>
      <c r="G77" t="s">
        <v>87</v>
      </c>
    </row>
    <row r="78" spans="1:7" x14ac:dyDescent="0.2">
      <c r="A78">
        <v>77</v>
      </c>
      <c r="B78" t="s">
        <v>78</v>
      </c>
      <c r="C78" t="s">
        <v>28</v>
      </c>
      <c r="D78">
        <v>586</v>
      </c>
      <c r="E78">
        <v>135</v>
      </c>
      <c r="F78">
        <v>2790</v>
      </c>
      <c r="G78" t="s">
        <v>88</v>
      </c>
    </row>
    <row r="79" spans="1:7" x14ac:dyDescent="0.2">
      <c r="A79">
        <v>78</v>
      </c>
      <c r="B79" t="s">
        <v>78</v>
      </c>
      <c r="C79" t="s">
        <v>30</v>
      </c>
      <c r="D79">
        <v>741</v>
      </c>
      <c r="E79">
        <v>166</v>
      </c>
      <c r="F79">
        <v>4726</v>
      </c>
      <c r="G79" t="s">
        <v>89</v>
      </c>
    </row>
    <row r="80" spans="1:7" x14ac:dyDescent="0.2">
      <c r="A80">
        <v>79</v>
      </c>
      <c r="B80" t="s">
        <v>78</v>
      </c>
      <c r="C80" t="s">
        <v>32</v>
      </c>
      <c r="D80">
        <v>1162</v>
      </c>
      <c r="E80">
        <v>257</v>
      </c>
      <c r="F80">
        <v>6044</v>
      </c>
      <c r="G80" t="s">
        <v>90</v>
      </c>
    </row>
    <row r="81" spans="1:7" x14ac:dyDescent="0.2">
      <c r="A81">
        <v>80</v>
      </c>
      <c r="B81" t="s">
        <v>78</v>
      </c>
      <c r="C81" t="s">
        <v>34</v>
      </c>
      <c r="D81">
        <v>2676</v>
      </c>
      <c r="E81">
        <v>724</v>
      </c>
      <c r="F81">
        <v>12011</v>
      </c>
      <c r="G81" t="s">
        <v>91</v>
      </c>
    </row>
    <row r="82" spans="1:7" x14ac:dyDescent="0.2">
      <c r="A82">
        <v>81</v>
      </c>
      <c r="B82" t="s">
        <v>92</v>
      </c>
      <c r="C82" t="s">
        <v>7</v>
      </c>
      <c r="D82">
        <v>273</v>
      </c>
      <c r="E82">
        <v>38</v>
      </c>
      <c r="F82">
        <v>2164</v>
      </c>
      <c r="G82" t="s">
        <v>93</v>
      </c>
    </row>
    <row r="83" spans="1:7" x14ac:dyDescent="0.2">
      <c r="A83">
        <v>82</v>
      </c>
      <c r="B83" t="s">
        <v>92</v>
      </c>
      <c r="C83" t="s">
        <v>9</v>
      </c>
      <c r="D83">
        <v>104</v>
      </c>
      <c r="E83">
        <v>21</v>
      </c>
      <c r="F83">
        <v>516</v>
      </c>
      <c r="G83" t="s">
        <v>94</v>
      </c>
    </row>
    <row r="84" spans="1:7" x14ac:dyDescent="0.2">
      <c r="A84">
        <v>83</v>
      </c>
      <c r="B84" t="s">
        <v>92</v>
      </c>
      <c r="C84" t="s">
        <v>11</v>
      </c>
      <c r="D84">
        <v>104</v>
      </c>
      <c r="E84">
        <v>21</v>
      </c>
      <c r="F84">
        <v>516</v>
      </c>
      <c r="G84" t="s">
        <v>94</v>
      </c>
    </row>
    <row r="85" spans="1:7" x14ac:dyDescent="0.2">
      <c r="A85">
        <v>84</v>
      </c>
      <c r="B85" t="s">
        <v>92</v>
      </c>
      <c r="C85" t="s">
        <v>12</v>
      </c>
      <c r="D85">
        <v>127</v>
      </c>
      <c r="E85">
        <v>9</v>
      </c>
      <c r="F85">
        <v>905</v>
      </c>
      <c r="G85" t="s">
        <v>95</v>
      </c>
    </row>
    <row r="86" spans="1:7" x14ac:dyDescent="0.2">
      <c r="A86">
        <v>85</v>
      </c>
      <c r="B86" t="s">
        <v>92</v>
      </c>
      <c r="C86" t="s">
        <v>14</v>
      </c>
      <c r="D86">
        <v>94</v>
      </c>
      <c r="E86">
        <v>3</v>
      </c>
      <c r="F86">
        <v>4828</v>
      </c>
      <c r="G86" t="s">
        <v>96</v>
      </c>
    </row>
    <row r="87" spans="1:7" x14ac:dyDescent="0.2">
      <c r="A87">
        <v>86</v>
      </c>
      <c r="B87" t="s">
        <v>92</v>
      </c>
      <c r="C87" t="s">
        <v>16</v>
      </c>
      <c r="D87">
        <v>94</v>
      </c>
      <c r="E87">
        <v>3</v>
      </c>
      <c r="F87">
        <v>4828</v>
      </c>
      <c r="G87" t="s">
        <v>96</v>
      </c>
    </row>
    <row r="88" spans="1:7" x14ac:dyDescent="0.2">
      <c r="A88">
        <v>87</v>
      </c>
      <c r="B88" t="s">
        <v>92</v>
      </c>
      <c r="C88" t="s">
        <v>17</v>
      </c>
      <c r="D88">
        <v>112</v>
      </c>
      <c r="E88">
        <v>3</v>
      </c>
      <c r="F88">
        <v>1703</v>
      </c>
      <c r="G88" t="s">
        <v>97</v>
      </c>
    </row>
    <row r="89" spans="1:7" x14ac:dyDescent="0.2">
      <c r="A89">
        <v>88</v>
      </c>
      <c r="B89" t="s">
        <v>92</v>
      </c>
      <c r="C89" t="s">
        <v>19</v>
      </c>
      <c r="D89">
        <v>1100</v>
      </c>
      <c r="E89">
        <v>88</v>
      </c>
      <c r="F89">
        <v>6935</v>
      </c>
      <c r="G89" t="s">
        <v>98</v>
      </c>
    </row>
    <row r="90" spans="1:7" x14ac:dyDescent="0.2">
      <c r="A90">
        <v>89</v>
      </c>
      <c r="B90" t="s">
        <v>92</v>
      </c>
      <c r="C90" t="s">
        <v>21</v>
      </c>
      <c r="D90">
        <v>1100</v>
      </c>
      <c r="E90">
        <v>88</v>
      </c>
      <c r="F90">
        <v>6935</v>
      </c>
      <c r="G90" t="s">
        <v>98</v>
      </c>
    </row>
    <row r="91" spans="1:7" x14ac:dyDescent="0.2">
      <c r="A91">
        <v>90</v>
      </c>
      <c r="B91" t="s">
        <v>92</v>
      </c>
      <c r="C91" t="s">
        <v>22</v>
      </c>
      <c r="D91">
        <v>498</v>
      </c>
      <c r="E91">
        <v>97</v>
      </c>
      <c r="F91">
        <v>3038</v>
      </c>
      <c r="G91" t="s">
        <v>99</v>
      </c>
    </row>
    <row r="92" spans="1:7" x14ac:dyDescent="0.2">
      <c r="A92">
        <v>91</v>
      </c>
      <c r="B92" t="s">
        <v>92</v>
      </c>
      <c r="C92" t="s">
        <v>24</v>
      </c>
      <c r="D92">
        <v>402</v>
      </c>
      <c r="E92">
        <v>48</v>
      </c>
      <c r="F92">
        <v>9898</v>
      </c>
      <c r="G92" t="s">
        <v>100</v>
      </c>
    </row>
    <row r="93" spans="1:7" x14ac:dyDescent="0.2">
      <c r="A93">
        <v>92</v>
      </c>
      <c r="B93" t="s">
        <v>92</v>
      </c>
      <c r="C93" t="s">
        <v>26</v>
      </c>
      <c r="D93">
        <v>2475</v>
      </c>
      <c r="E93">
        <v>259</v>
      </c>
      <c r="F93">
        <v>14316</v>
      </c>
      <c r="G93" t="s">
        <v>101</v>
      </c>
    </row>
    <row r="94" spans="1:7" x14ac:dyDescent="0.2">
      <c r="A94">
        <v>93</v>
      </c>
      <c r="B94" t="s">
        <v>92</v>
      </c>
      <c r="C94" t="s">
        <v>28</v>
      </c>
      <c r="D94">
        <v>598</v>
      </c>
      <c r="E94">
        <v>105</v>
      </c>
      <c r="F94">
        <v>4189</v>
      </c>
      <c r="G94" t="s">
        <v>102</v>
      </c>
    </row>
    <row r="95" spans="1:7" x14ac:dyDescent="0.2">
      <c r="A95">
        <v>94</v>
      </c>
      <c r="B95" t="s">
        <v>92</v>
      </c>
      <c r="C95" t="s">
        <v>30</v>
      </c>
      <c r="D95">
        <v>1623</v>
      </c>
      <c r="E95">
        <v>286</v>
      </c>
      <c r="F95">
        <v>10262</v>
      </c>
      <c r="G95" t="s">
        <v>103</v>
      </c>
    </row>
    <row r="96" spans="1:7" x14ac:dyDescent="0.2">
      <c r="A96">
        <v>95</v>
      </c>
      <c r="B96" t="s">
        <v>92</v>
      </c>
      <c r="C96" t="s">
        <v>32</v>
      </c>
      <c r="D96">
        <v>2138</v>
      </c>
      <c r="E96">
        <v>447</v>
      </c>
      <c r="F96">
        <v>10167</v>
      </c>
      <c r="G96" t="s">
        <v>104</v>
      </c>
    </row>
    <row r="97" spans="1:7" x14ac:dyDescent="0.2">
      <c r="A97">
        <v>96</v>
      </c>
      <c r="B97" t="s">
        <v>92</v>
      </c>
      <c r="C97" t="s">
        <v>34</v>
      </c>
      <c r="D97">
        <v>4725</v>
      </c>
      <c r="E97">
        <v>1157</v>
      </c>
      <c r="F97">
        <v>21771</v>
      </c>
      <c r="G97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65A6-D978-1242-AB81-5DAEA030EAE5}">
  <dimension ref="A1:G49"/>
  <sheetViews>
    <sheetView topLeftCell="A15" workbookViewId="0">
      <selection activeCell="A30" sqref="A30:XFD30"/>
    </sheetView>
  </sheetViews>
  <sheetFormatPr baseColWidth="10" defaultRowHeight="16" x14ac:dyDescent="0.2"/>
  <sheetData>
    <row r="1" spans="1:7" x14ac:dyDescent="0.2">
      <c r="A1" s="1"/>
      <c r="B1" s="1" t="s">
        <v>118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</v>
      </c>
      <c r="B2" s="1" t="s">
        <v>119</v>
      </c>
      <c r="C2" s="1" t="s">
        <v>7</v>
      </c>
      <c r="D2" s="1">
        <v>121</v>
      </c>
      <c r="E2" s="1">
        <v>12</v>
      </c>
      <c r="F2" s="1">
        <v>731</v>
      </c>
      <c r="G2" s="1" t="s">
        <v>120</v>
      </c>
    </row>
    <row r="3" spans="1:7" x14ac:dyDescent="0.2">
      <c r="A3" s="1">
        <v>2</v>
      </c>
      <c r="B3" s="1" t="s">
        <v>119</v>
      </c>
      <c r="C3" s="1" t="s">
        <v>9</v>
      </c>
      <c r="D3" s="1">
        <v>78</v>
      </c>
      <c r="E3" s="1">
        <v>12</v>
      </c>
      <c r="F3" s="1">
        <v>372</v>
      </c>
      <c r="G3" s="1" t="s">
        <v>121</v>
      </c>
    </row>
    <row r="4" spans="1:7" x14ac:dyDescent="0.2">
      <c r="A4" s="1">
        <v>3</v>
      </c>
      <c r="B4" s="1" t="s">
        <v>119</v>
      </c>
      <c r="C4" s="1" t="s">
        <v>11</v>
      </c>
      <c r="D4" s="1">
        <v>78</v>
      </c>
      <c r="E4" s="1">
        <v>12</v>
      </c>
      <c r="F4" s="1">
        <v>372</v>
      </c>
      <c r="G4" s="1" t="s">
        <v>121</v>
      </c>
    </row>
    <row r="5" spans="1:7" x14ac:dyDescent="0.2">
      <c r="A5" s="1">
        <v>4</v>
      </c>
      <c r="B5" s="1" t="s">
        <v>119</v>
      </c>
      <c r="C5" s="1" t="s">
        <v>12</v>
      </c>
      <c r="D5" s="1">
        <v>55</v>
      </c>
      <c r="E5" s="1">
        <v>3</v>
      </c>
      <c r="F5" s="1">
        <v>337</v>
      </c>
      <c r="G5" s="1" t="s">
        <v>122</v>
      </c>
    </row>
    <row r="6" spans="1:7" x14ac:dyDescent="0.2">
      <c r="A6" s="1">
        <v>5</v>
      </c>
      <c r="B6" s="1" t="s">
        <v>119</v>
      </c>
      <c r="C6" s="1" t="s">
        <v>14</v>
      </c>
      <c r="D6" s="1">
        <v>31</v>
      </c>
      <c r="E6" s="1">
        <v>1</v>
      </c>
      <c r="F6" s="1">
        <v>709</v>
      </c>
      <c r="G6" s="1" t="s">
        <v>123</v>
      </c>
    </row>
    <row r="7" spans="1:7" x14ac:dyDescent="0.2">
      <c r="A7" s="1">
        <v>6</v>
      </c>
      <c r="B7" s="1" t="s">
        <v>119</v>
      </c>
      <c r="C7" s="1" t="s">
        <v>16</v>
      </c>
      <c r="D7" s="1">
        <v>31</v>
      </c>
      <c r="E7" s="1">
        <v>1</v>
      </c>
      <c r="F7" s="1">
        <v>709</v>
      </c>
      <c r="G7" s="1" t="s">
        <v>123</v>
      </c>
    </row>
    <row r="8" spans="1:7" x14ac:dyDescent="0.2">
      <c r="A8" s="1">
        <v>7</v>
      </c>
      <c r="B8" s="1" t="s">
        <v>119</v>
      </c>
      <c r="C8" s="1" t="s">
        <v>17</v>
      </c>
      <c r="D8" s="1">
        <v>10</v>
      </c>
      <c r="E8" s="1">
        <v>0</v>
      </c>
      <c r="F8" s="1">
        <v>163</v>
      </c>
      <c r="G8" s="1" t="s">
        <v>124</v>
      </c>
    </row>
    <row r="9" spans="1:7" x14ac:dyDescent="0.2">
      <c r="A9" s="1">
        <v>8</v>
      </c>
      <c r="B9" s="1" t="s">
        <v>119</v>
      </c>
      <c r="C9" s="1" t="s">
        <v>19</v>
      </c>
      <c r="D9" s="1">
        <v>362</v>
      </c>
      <c r="E9" s="1">
        <v>39</v>
      </c>
      <c r="F9" s="1">
        <v>2532</v>
      </c>
      <c r="G9" s="1" t="s">
        <v>125</v>
      </c>
    </row>
    <row r="10" spans="1:7" x14ac:dyDescent="0.2">
      <c r="A10" s="1">
        <v>9</v>
      </c>
      <c r="B10" s="1" t="s">
        <v>119</v>
      </c>
      <c r="C10" s="1" t="s">
        <v>21</v>
      </c>
      <c r="D10" s="1">
        <v>362</v>
      </c>
      <c r="E10" s="1">
        <v>39</v>
      </c>
      <c r="F10" s="1">
        <v>2532</v>
      </c>
      <c r="G10" s="1" t="s">
        <v>125</v>
      </c>
    </row>
    <row r="11" spans="1:7" x14ac:dyDescent="0.2">
      <c r="A11" s="1">
        <v>10</v>
      </c>
      <c r="B11" s="1" t="s">
        <v>119</v>
      </c>
      <c r="C11" s="1" t="s">
        <v>22</v>
      </c>
      <c r="D11" s="1">
        <v>287</v>
      </c>
      <c r="E11" s="1">
        <v>43</v>
      </c>
      <c r="F11" s="1">
        <v>1389</v>
      </c>
      <c r="G11" s="1" t="s">
        <v>126</v>
      </c>
    </row>
    <row r="12" spans="1:7" x14ac:dyDescent="0.2">
      <c r="A12" s="1">
        <v>11</v>
      </c>
      <c r="B12" s="1" t="s">
        <v>119</v>
      </c>
      <c r="C12" s="1" t="s">
        <v>24</v>
      </c>
      <c r="D12" s="1">
        <v>146</v>
      </c>
      <c r="E12" s="1">
        <v>18</v>
      </c>
      <c r="F12" s="1">
        <v>1580</v>
      </c>
      <c r="G12" s="1" t="s">
        <v>127</v>
      </c>
    </row>
    <row r="13" spans="1:7" x14ac:dyDescent="0.2">
      <c r="A13" s="1">
        <v>12</v>
      </c>
      <c r="B13" s="1" t="s">
        <v>119</v>
      </c>
      <c r="C13" s="1" t="s">
        <v>26</v>
      </c>
      <c r="D13" s="1">
        <v>755</v>
      </c>
      <c r="E13" s="1">
        <v>93</v>
      </c>
      <c r="F13" s="1">
        <v>5095</v>
      </c>
      <c r="G13" s="1" t="s">
        <v>128</v>
      </c>
    </row>
    <row r="14" spans="1:7" x14ac:dyDescent="0.2">
      <c r="A14" s="1">
        <v>13</v>
      </c>
      <c r="B14" s="1" t="s">
        <v>119</v>
      </c>
      <c r="C14" s="1" t="s">
        <v>28</v>
      </c>
      <c r="D14" s="1">
        <v>211</v>
      </c>
      <c r="E14" s="1">
        <v>30</v>
      </c>
      <c r="F14" s="1">
        <v>1060</v>
      </c>
      <c r="G14" s="1" t="s">
        <v>129</v>
      </c>
    </row>
    <row r="15" spans="1:7" x14ac:dyDescent="0.2">
      <c r="A15" s="1">
        <v>14</v>
      </c>
      <c r="B15" s="1" t="s">
        <v>119</v>
      </c>
      <c r="C15" s="1" t="s">
        <v>30</v>
      </c>
      <c r="D15" s="1">
        <v>557</v>
      </c>
      <c r="E15" s="1">
        <v>115</v>
      </c>
      <c r="F15" s="1">
        <v>3039</v>
      </c>
      <c r="G15" s="1" t="s">
        <v>130</v>
      </c>
    </row>
    <row r="16" spans="1:7" x14ac:dyDescent="0.2">
      <c r="A16" s="1">
        <v>15</v>
      </c>
      <c r="B16" s="1" t="s">
        <v>119</v>
      </c>
      <c r="C16" s="1" t="s">
        <v>32</v>
      </c>
      <c r="D16" s="1">
        <v>550</v>
      </c>
      <c r="E16" s="1">
        <v>125</v>
      </c>
      <c r="F16" s="1">
        <v>2288</v>
      </c>
      <c r="G16" s="1" t="s">
        <v>131</v>
      </c>
    </row>
    <row r="17" spans="1:7" x14ac:dyDescent="0.2">
      <c r="A17" s="1">
        <v>16</v>
      </c>
      <c r="B17" s="1" t="s">
        <v>119</v>
      </c>
      <c r="C17" s="1" t="s">
        <v>34</v>
      </c>
      <c r="D17" s="1">
        <v>1428</v>
      </c>
      <c r="E17" s="1">
        <v>357</v>
      </c>
      <c r="F17" s="1">
        <v>5741</v>
      </c>
      <c r="G17" s="1" t="s">
        <v>132</v>
      </c>
    </row>
    <row r="18" spans="1:7" x14ac:dyDescent="0.2">
      <c r="A18" s="1">
        <v>17</v>
      </c>
      <c r="B18" s="1" t="s">
        <v>133</v>
      </c>
      <c r="C18" s="1" t="s">
        <v>7</v>
      </c>
      <c r="D18" s="1">
        <v>255</v>
      </c>
      <c r="E18" s="1">
        <v>35</v>
      </c>
      <c r="F18" s="1">
        <v>1288</v>
      </c>
      <c r="G18" s="1" t="s">
        <v>134</v>
      </c>
    </row>
    <row r="19" spans="1:7" x14ac:dyDescent="0.2">
      <c r="A19" s="1">
        <v>18</v>
      </c>
      <c r="B19" s="1" t="s">
        <v>133</v>
      </c>
      <c r="C19" s="1" t="s">
        <v>9</v>
      </c>
      <c r="D19" s="1">
        <v>105</v>
      </c>
      <c r="E19" s="1">
        <v>22</v>
      </c>
      <c r="F19" s="1">
        <v>418</v>
      </c>
      <c r="G19" s="1" t="s">
        <v>135</v>
      </c>
    </row>
    <row r="20" spans="1:7" x14ac:dyDescent="0.2">
      <c r="A20" s="1">
        <v>19</v>
      </c>
      <c r="B20" s="1" t="s">
        <v>133</v>
      </c>
      <c r="C20" s="1" t="s">
        <v>11</v>
      </c>
      <c r="D20" s="1">
        <v>105</v>
      </c>
      <c r="E20" s="1">
        <v>22</v>
      </c>
      <c r="F20" s="1">
        <v>418</v>
      </c>
      <c r="G20" s="1" t="s">
        <v>135</v>
      </c>
    </row>
    <row r="21" spans="1:7" x14ac:dyDescent="0.2">
      <c r="A21" s="1">
        <v>20</v>
      </c>
      <c r="B21" s="1" t="s">
        <v>133</v>
      </c>
      <c r="C21" s="1" t="s">
        <v>12</v>
      </c>
      <c r="D21" s="1">
        <v>97</v>
      </c>
      <c r="E21" s="1">
        <v>9</v>
      </c>
      <c r="F21" s="1">
        <v>509</v>
      </c>
      <c r="G21" s="1" t="s">
        <v>136</v>
      </c>
    </row>
    <row r="22" spans="1:7" x14ac:dyDescent="0.2">
      <c r="A22" s="1">
        <v>21</v>
      </c>
      <c r="B22" s="1" t="s">
        <v>133</v>
      </c>
      <c r="C22" s="1" t="s">
        <v>14</v>
      </c>
      <c r="D22" s="1">
        <v>54</v>
      </c>
      <c r="E22" s="1">
        <v>2</v>
      </c>
      <c r="F22" s="1">
        <v>1349</v>
      </c>
      <c r="G22" s="1" t="s">
        <v>137</v>
      </c>
    </row>
    <row r="23" spans="1:7" x14ac:dyDescent="0.2">
      <c r="A23" s="1">
        <v>22</v>
      </c>
      <c r="B23" s="1" t="s">
        <v>133</v>
      </c>
      <c r="C23" s="1" t="s">
        <v>16</v>
      </c>
      <c r="D23" s="1">
        <v>54</v>
      </c>
      <c r="E23" s="1">
        <v>2</v>
      </c>
      <c r="F23" s="1">
        <v>1349</v>
      </c>
      <c r="G23" s="1" t="s">
        <v>137</v>
      </c>
    </row>
    <row r="24" spans="1:7" x14ac:dyDescent="0.2">
      <c r="A24" s="1">
        <v>23</v>
      </c>
      <c r="B24" s="1" t="s">
        <v>133</v>
      </c>
      <c r="C24" s="1" t="s">
        <v>17</v>
      </c>
      <c r="D24" s="1">
        <v>49</v>
      </c>
      <c r="E24" s="1">
        <v>1</v>
      </c>
      <c r="F24" s="1">
        <v>415</v>
      </c>
      <c r="G24" s="1" t="s">
        <v>138</v>
      </c>
    </row>
    <row r="25" spans="1:7" x14ac:dyDescent="0.2">
      <c r="A25" s="1">
        <v>24</v>
      </c>
      <c r="B25" s="1" t="s">
        <v>133</v>
      </c>
      <c r="C25" s="1" t="s">
        <v>19</v>
      </c>
      <c r="D25" s="1">
        <v>494</v>
      </c>
      <c r="E25" s="1">
        <v>54</v>
      </c>
      <c r="F25" s="1">
        <v>3820</v>
      </c>
      <c r="G25" s="1" t="s">
        <v>139</v>
      </c>
    </row>
    <row r="26" spans="1:7" x14ac:dyDescent="0.2">
      <c r="A26" s="1">
        <v>25</v>
      </c>
      <c r="B26" s="1" t="s">
        <v>133</v>
      </c>
      <c r="C26" s="1" t="s">
        <v>21</v>
      </c>
      <c r="D26" s="1">
        <v>494</v>
      </c>
      <c r="E26" s="1">
        <v>54</v>
      </c>
      <c r="F26" s="1">
        <v>3820</v>
      </c>
      <c r="G26" s="1" t="s">
        <v>139</v>
      </c>
    </row>
    <row r="27" spans="1:7" x14ac:dyDescent="0.2">
      <c r="A27" s="1">
        <v>26</v>
      </c>
      <c r="B27" s="1" t="s">
        <v>133</v>
      </c>
      <c r="C27" s="1" t="s">
        <v>22</v>
      </c>
      <c r="D27" s="1">
        <v>479</v>
      </c>
      <c r="E27" s="1">
        <v>90</v>
      </c>
      <c r="F27" s="1">
        <v>2032</v>
      </c>
      <c r="G27" s="1" t="s">
        <v>140</v>
      </c>
    </row>
    <row r="28" spans="1:7" x14ac:dyDescent="0.2">
      <c r="A28" s="1">
        <v>27</v>
      </c>
      <c r="B28" s="1" t="s">
        <v>133</v>
      </c>
      <c r="C28" s="1" t="s">
        <v>24</v>
      </c>
      <c r="D28" s="1">
        <v>248</v>
      </c>
      <c r="E28" s="1">
        <v>39</v>
      </c>
      <c r="F28" s="1">
        <v>2870</v>
      </c>
      <c r="G28" s="1" t="s">
        <v>141</v>
      </c>
    </row>
    <row r="29" spans="1:7" x14ac:dyDescent="0.2">
      <c r="A29" s="1">
        <v>28</v>
      </c>
      <c r="B29" s="1" t="s">
        <v>133</v>
      </c>
      <c r="C29" s="1" t="s">
        <v>26</v>
      </c>
      <c r="D29" s="1">
        <v>1073</v>
      </c>
      <c r="E29" s="1">
        <v>149</v>
      </c>
      <c r="F29" s="1">
        <v>7840</v>
      </c>
      <c r="G29" s="1" t="s">
        <v>142</v>
      </c>
    </row>
    <row r="30" spans="1:7" x14ac:dyDescent="0.2">
      <c r="A30" s="1">
        <v>29</v>
      </c>
      <c r="B30" s="1" t="s">
        <v>133</v>
      </c>
      <c r="C30" s="1" t="s">
        <v>28</v>
      </c>
      <c r="D30" s="1">
        <v>448</v>
      </c>
      <c r="E30" s="1">
        <v>81</v>
      </c>
      <c r="F30" s="1">
        <v>1904</v>
      </c>
      <c r="G30" s="1" t="s">
        <v>143</v>
      </c>
    </row>
    <row r="31" spans="1:7" x14ac:dyDescent="0.2">
      <c r="A31" s="1">
        <v>30</v>
      </c>
      <c r="B31" s="1" t="s">
        <v>133</v>
      </c>
      <c r="C31" s="1" t="s">
        <v>30</v>
      </c>
      <c r="D31" s="1">
        <v>773</v>
      </c>
      <c r="E31" s="1">
        <v>168</v>
      </c>
      <c r="F31" s="1">
        <v>4872</v>
      </c>
      <c r="G31" s="1" t="s">
        <v>144</v>
      </c>
    </row>
    <row r="32" spans="1:7" x14ac:dyDescent="0.2">
      <c r="A32" s="1">
        <v>31</v>
      </c>
      <c r="B32" s="1" t="s">
        <v>133</v>
      </c>
      <c r="C32" s="1" t="s">
        <v>32</v>
      </c>
      <c r="D32" s="1">
        <v>1036</v>
      </c>
      <c r="E32" s="1">
        <v>247</v>
      </c>
      <c r="F32" s="1">
        <v>4541</v>
      </c>
      <c r="G32" s="1" t="s">
        <v>145</v>
      </c>
    </row>
    <row r="33" spans="1:7" x14ac:dyDescent="0.2">
      <c r="A33" s="1">
        <v>32</v>
      </c>
      <c r="B33" s="1" t="s">
        <v>133</v>
      </c>
      <c r="C33" s="1" t="s">
        <v>34</v>
      </c>
      <c r="D33" s="1">
        <v>2431</v>
      </c>
      <c r="E33" s="1">
        <v>649</v>
      </c>
      <c r="F33" s="1">
        <v>10170</v>
      </c>
      <c r="G33" s="1" t="s">
        <v>146</v>
      </c>
    </row>
    <row r="34" spans="1:7" x14ac:dyDescent="0.2">
      <c r="A34" s="1">
        <v>33</v>
      </c>
      <c r="B34" s="1" t="s">
        <v>147</v>
      </c>
      <c r="C34" s="1" t="s">
        <v>7</v>
      </c>
      <c r="D34" s="1">
        <v>501</v>
      </c>
      <c r="E34" s="1">
        <v>70</v>
      </c>
      <c r="F34" s="1">
        <v>3351</v>
      </c>
      <c r="G34" s="1" t="s">
        <v>148</v>
      </c>
    </row>
    <row r="35" spans="1:7" x14ac:dyDescent="0.2">
      <c r="A35" s="1">
        <v>34</v>
      </c>
      <c r="B35" s="1" t="s">
        <v>147</v>
      </c>
      <c r="C35" s="1" t="s">
        <v>9</v>
      </c>
      <c r="D35" s="1">
        <v>138</v>
      </c>
      <c r="E35" s="1">
        <v>28</v>
      </c>
      <c r="F35" s="1">
        <v>681</v>
      </c>
      <c r="G35" s="1" t="s">
        <v>149</v>
      </c>
    </row>
    <row r="36" spans="1:7" x14ac:dyDescent="0.2">
      <c r="A36" s="1">
        <v>35</v>
      </c>
      <c r="B36" s="1" t="s">
        <v>147</v>
      </c>
      <c r="C36" s="1" t="s">
        <v>11</v>
      </c>
      <c r="D36" s="1">
        <v>138</v>
      </c>
      <c r="E36" s="1">
        <v>28</v>
      </c>
      <c r="F36" s="1">
        <v>681</v>
      </c>
      <c r="G36" s="1" t="s">
        <v>149</v>
      </c>
    </row>
    <row r="37" spans="1:7" x14ac:dyDescent="0.2">
      <c r="A37" s="1">
        <v>36</v>
      </c>
      <c r="B37" s="1" t="s">
        <v>147</v>
      </c>
      <c r="C37" s="1" t="s">
        <v>12</v>
      </c>
      <c r="D37" s="1">
        <v>166</v>
      </c>
      <c r="E37" s="1">
        <v>16</v>
      </c>
      <c r="F37" s="1">
        <v>1149</v>
      </c>
      <c r="G37" s="1" t="s">
        <v>150</v>
      </c>
    </row>
    <row r="38" spans="1:7" x14ac:dyDescent="0.2">
      <c r="A38" s="1">
        <v>37</v>
      </c>
      <c r="B38" s="1" t="s">
        <v>147</v>
      </c>
      <c r="C38" s="1" t="s">
        <v>14</v>
      </c>
      <c r="D38" s="1">
        <v>93</v>
      </c>
      <c r="E38" s="1">
        <v>4</v>
      </c>
      <c r="F38" s="1">
        <v>2413</v>
      </c>
      <c r="G38" s="1" t="s">
        <v>151</v>
      </c>
    </row>
    <row r="39" spans="1:7" x14ac:dyDescent="0.2">
      <c r="A39" s="1">
        <v>38</v>
      </c>
      <c r="B39" s="1" t="s">
        <v>147</v>
      </c>
      <c r="C39" s="1" t="s">
        <v>16</v>
      </c>
      <c r="D39" s="1">
        <v>93</v>
      </c>
      <c r="E39" s="1">
        <v>4</v>
      </c>
      <c r="F39" s="1">
        <v>2413</v>
      </c>
      <c r="G39" s="1" t="s">
        <v>151</v>
      </c>
    </row>
    <row r="40" spans="1:7" x14ac:dyDescent="0.2">
      <c r="A40" s="1">
        <v>39</v>
      </c>
      <c r="B40" s="1" t="s">
        <v>147</v>
      </c>
      <c r="C40" s="1" t="s">
        <v>17</v>
      </c>
      <c r="D40" s="1">
        <v>204</v>
      </c>
      <c r="E40" s="1">
        <v>13</v>
      </c>
      <c r="F40" s="1">
        <v>2137</v>
      </c>
      <c r="G40" s="1" t="s">
        <v>152</v>
      </c>
    </row>
    <row r="41" spans="1:7" x14ac:dyDescent="0.2">
      <c r="A41" s="1">
        <v>40</v>
      </c>
      <c r="B41" s="1" t="s">
        <v>147</v>
      </c>
      <c r="C41" s="1" t="s">
        <v>19</v>
      </c>
      <c r="D41" s="1">
        <v>663</v>
      </c>
      <c r="E41" s="1">
        <v>65</v>
      </c>
      <c r="F41" s="1">
        <v>4090</v>
      </c>
      <c r="G41" s="1" t="s">
        <v>153</v>
      </c>
    </row>
    <row r="42" spans="1:7" x14ac:dyDescent="0.2">
      <c r="A42" s="1">
        <v>41</v>
      </c>
      <c r="B42" s="1" t="s">
        <v>147</v>
      </c>
      <c r="C42" s="1" t="s">
        <v>21</v>
      </c>
      <c r="D42" s="1">
        <v>663</v>
      </c>
      <c r="E42" s="1">
        <v>65</v>
      </c>
      <c r="F42" s="1">
        <v>4090</v>
      </c>
      <c r="G42" s="1" t="s">
        <v>153</v>
      </c>
    </row>
    <row r="43" spans="1:7" x14ac:dyDescent="0.2">
      <c r="A43" s="1">
        <v>42</v>
      </c>
      <c r="B43" s="1" t="s">
        <v>147</v>
      </c>
      <c r="C43" s="1" t="s">
        <v>22</v>
      </c>
      <c r="D43" s="1">
        <v>803</v>
      </c>
      <c r="E43" s="1">
        <v>143</v>
      </c>
      <c r="F43" s="1">
        <v>4513</v>
      </c>
      <c r="G43" s="1" t="s">
        <v>154</v>
      </c>
    </row>
    <row r="44" spans="1:7" x14ac:dyDescent="0.2">
      <c r="A44" s="1">
        <v>43</v>
      </c>
      <c r="B44" s="1" t="s">
        <v>147</v>
      </c>
      <c r="C44" s="1" t="s">
        <v>24</v>
      </c>
      <c r="D44" s="1">
        <v>440</v>
      </c>
      <c r="E44" s="1">
        <v>61</v>
      </c>
      <c r="F44" s="1">
        <v>5338</v>
      </c>
      <c r="G44" s="1" t="s">
        <v>155</v>
      </c>
    </row>
    <row r="45" spans="1:7" x14ac:dyDescent="0.2">
      <c r="A45" s="1">
        <v>44</v>
      </c>
      <c r="B45" s="1" t="s">
        <v>147</v>
      </c>
      <c r="C45" s="1" t="s">
        <v>26</v>
      </c>
      <c r="D45" s="1">
        <v>1680</v>
      </c>
      <c r="E45" s="1">
        <v>256</v>
      </c>
      <c r="F45" s="1">
        <v>9241</v>
      </c>
      <c r="G45" s="1" t="s">
        <v>156</v>
      </c>
    </row>
    <row r="46" spans="1:7" x14ac:dyDescent="0.2">
      <c r="A46" s="1">
        <v>45</v>
      </c>
      <c r="B46" s="1" t="s">
        <v>147</v>
      </c>
      <c r="C46" s="1" t="s">
        <v>28</v>
      </c>
      <c r="D46" s="1">
        <v>995</v>
      </c>
      <c r="E46" s="1">
        <v>167</v>
      </c>
      <c r="F46" s="1">
        <v>5750</v>
      </c>
      <c r="G46" s="1" t="s">
        <v>157</v>
      </c>
    </row>
    <row r="47" spans="1:7" x14ac:dyDescent="0.2">
      <c r="A47" s="1">
        <v>46</v>
      </c>
      <c r="B47" s="1" t="s">
        <v>147</v>
      </c>
      <c r="C47" s="1" t="s">
        <v>30</v>
      </c>
      <c r="D47" s="1">
        <v>1091</v>
      </c>
      <c r="E47" s="1">
        <v>238</v>
      </c>
      <c r="F47" s="1">
        <v>5930</v>
      </c>
      <c r="G47" s="1" t="s">
        <v>158</v>
      </c>
    </row>
    <row r="48" spans="1:7" x14ac:dyDescent="0.2">
      <c r="A48" s="1">
        <v>47</v>
      </c>
      <c r="B48" s="1" t="s">
        <v>147</v>
      </c>
      <c r="C48" s="1" t="s">
        <v>32</v>
      </c>
      <c r="D48" s="1">
        <v>2015</v>
      </c>
      <c r="E48" s="1">
        <v>450</v>
      </c>
      <c r="F48" s="1">
        <v>8970</v>
      </c>
      <c r="G48" s="1" t="s">
        <v>159</v>
      </c>
    </row>
    <row r="49" spans="1:7" x14ac:dyDescent="0.2">
      <c r="A49" s="1">
        <v>48</v>
      </c>
      <c r="B49" s="1" t="s">
        <v>147</v>
      </c>
      <c r="C49" s="1" t="s">
        <v>34</v>
      </c>
      <c r="D49" s="1">
        <v>4459</v>
      </c>
      <c r="E49" s="1">
        <v>1106</v>
      </c>
      <c r="F49" s="1">
        <v>18075</v>
      </c>
      <c r="G49" s="1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E783-4FEF-F74B-9CAF-4D09522CF711}">
  <dimension ref="A1:E26"/>
  <sheetViews>
    <sheetView tabSelected="1" workbookViewId="0">
      <selection activeCell="B24" sqref="B24:E26"/>
    </sheetView>
  </sheetViews>
  <sheetFormatPr baseColWidth="10" defaultRowHeight="16" x14ac:dyDescent="0.2"/>
  <cols>
    <col min="1" max="1" width="29.83203125" customWidth="1"/>
    <col min="2" max="2" width="18.33203125" customWidth="1"/>
    <col min="3" max="3" width="21.5" customWidth="1"/>
    <col min="4" max="4" width="21.83203125" customWidth="1"/>
    <col min="5" max="5" width="21.6640625" customWidth="1"/>
  </cols>
  <sheetData>
    <row r="1" spans="1:5" x14ac:dyDescent="0.2">
      <c r="B1" t="s">
        <v>106</v>
      </c>
      <c r="C1" t="s">
        <v>107</v>
      </c>
      <c r="D1" t="s">
        <v>108</v>
      </c>
      <c r="E1" t="s">
        <v>109</v>
      </c>
    </row>
    <row r="2" spans="1:5" x14ac:dyDescent="0.2">
      <c r="A2" t="s">
        <v>113</v>
      </c>
      <c r="B2" t="str">
        <f>allLMICMedianCosts!$F14</f>
        <v>536 (62, 4048)</v>
      </c>
      <c r="C2" t="str">
        <f>allLMICMedianCosts!$F15</f>
        <v>840 (167, 5016)</v>
      </c>
      <c r="D2" t="str">
        <f>allLMICMedianCosts!$F16</f>
        <v>1216 (210, 6889)</v>
      </c>
      <c r="E2" t="str">
        <f>allLMICMedianCosts!$F17</f>
        <v>2827 (573, 14361)</v>
      </c>
    </row>
    <row r="3" spans="1:5" x14ac:dyDescent="0.2">
      <c r="A3" t="s">
        <v>114</v>
      </c>
      <c r="B3" t="str">
        <f>top30MedianCosts!$F14</f>
        <v>392 (48, 3305)</v>
      </c>
      <c r="C3" t="str">
        <f>top30MedianCosts!$F15</f>
        <v>808 (174, 4942)</v>
      </c>
      <c r="D3" t="str">
        <f>top30MedianCosts!$F16</f>
        <v>1004 (199, 6257)</v>
      </c>
      <c r="E3" t="str">
        <f>top30MedianCosts!$F17</f>
        <v>2408 (555, 13562)</v>
      </c>
    </row>
    <row r="4" spans="1:5" x14ac:dyDescent="0.2">
      <c r="A4" t="s">
        <v>6</v>
      </c>
      <c r="B4" t="str">
        <f>regionMedianCosts!G14</f>
        <v>293 (38, 2656)</v>
      </c>
      <c r="C4" t="str">
        <f>regionMedianCosts!G15</f>
        <v>765 (168, 4422)</v>
      </c>
      <c r="D4" t="str">
        <f>regionMedianCosts!G16</f>
        <v>832 (177, 4800)</v>
      </c>
      <c r="E4" t="str">
        <f>regionMedianCosts!G17</f>
        <v>2048 (492, 10644)</v>
      </c>
    </row>
    <row r="5" spans="1:5" x14ac:dyDescent="0.2">
      <c r="A5" t="s">
        <v>36</v>
      </c>
      <c r="B5" t="str">
        <f>regionMedianCosts!$G30</f>
        <v>790 (169, 3871)</v>
      </c>
      <c r="C5" t="str">
        <f>regionMedianCosts!$G31</f>
        <v>968 (232, 4077)</v>
      </c>
      <c r="D5" t="str">
        <f>regionMedianCosts!$G32</f>
        <v>1734 (377, 7286)</v>
      </c>
      <c r="E5" t="str">
        <f>regionMedianCosts!$G33</f>
        <v>3693 (886, 13983)</v>
      </c>
    </row>
    <row r="6" spans="1:5" x14ac:dyDescent="0.2">
      <c r="A6" t="s">
        <v>50</v>
      </c>
      <c r="B6" t="str">
        <f>regionMedianCosts!$G46</f>
        <v>525 (85, 2654)</v>
      </c>
      <c r="C6" t="str">
        <f>regionMedianCosts!$G47</f>
        <v>630 (115, 3207)</v>
      </c>
      <c r="D6" t="str">
        <f>regionMedianCosts!$G48</f>
        <v>965 (146, 5169)</v>
      </c>
      <c r="E6" t="str">
        <f>regionMedianCosts!$G49</f>
        <v>2226 (426, 10162)</v>
      </c>
    </row>
    <row r="7" spans="1:5" x14ac:dyDescent="0.2">
      <c r="A7" t="s">
        <v>64</v>
      </c>
      <c r="B7" t="str">
        <f>regionMedianCosts!$G62</f>
        <v>1274 (184, 7522)</v>
      </c>
      <c r="C7" t="str">
        <f>regionMedianCosts!$G63</f>
        <v>789 (148, 3717)</v>
      </c>
      <c r="D7" t="str">
        <f>regionMedianCosts!$G64</f>
        <v>1626 (256, 7620)</v>
      </c>
      <c r="E7" t="str">
        <f>regionMedianCosts!$G65</f>
        <v>4048 (685, 16730)</v>
      </c>
    </row>
    <row r="8" spans="1:5" x14ac:dyDescent="0.2">
      <c r="A8" t="s">
        <v>78</v>
      </c>
      <c r="B8" t="str">
        <f>regionMedianCosts!$G78</f>
        <v>586 (135, 2790)</v>
      </c>
      <c r="C8" t="str">
        <f>regionMedianCosts!$G79</f>
        <v>741 (166, 4726)</v>
      </c>
      <c r="D8" t="str">
        <f>regionMedianCosts!$G80</f>
        <v>1162 (257, 6044)</v>
      </c>
      <c r="E8" t="str">
        <f>regionMedianCosts!$G81</f>
        <v>2676 (724, 12011)</v>
      </c>
    </row>
    <row r="9" spans="1:5" x14ac:dyDescent="0.2">
      <c r="A9" t="s">
        <v>92</v>
      </c>
      <c r="B9" t="str">
        <f>regionMedianCosts!$G94</f>
        <v>598 (105, 4189)</v>
      </c>
      <c r="C9" t="str">
        <f>regionMedianCosts!$G95</f>
        <v>1623 (286, 10262)</v>
      </c>
      <c r="D9" t="str">
        <f>regionMedianCosts!$G96</f>
        <v>2138 (447, 10167)</v>
      </c>
      <c r="E9" t="str">
        <f>regionMedianCosts!$G97</f>
        <v>4725 (1157, 21771)</v>
      </c>
    </row>
    <row r="10" spans="1:5" x14ac:dyDescent="0.2">
      <c r="A10" t="s">
        <v>115</v>
      </c>
      <c r="B10" t="str">
        <f>worldBankMedianCost!$G14</f>
        <v>211 (30, 1060)</v>
      </c>
      <c r="C10" t="str">
        <f>worldBankMedianCost!$G15</f>
        <v>557 (115, 3039)</v>
      </c>
      <c r="D10" t="str">
        <f>worldBankMedianCost!$G16</f>
        <v>550 (125, 2288)</v>
      </c>
      <c r="E10" t="str">
        <f>worldBankMedianCost!$G17</f>
        <v>1428 (357, 5741)</v>
      </c>
    </row>
    <row r="11" spans="1:5" x14ac:dyDescent="0.2">
      <c r="A11" t="s">
        <v>116</v>
      </c>
      <c r="B11" t="str">
        <f>worldBankMedianCost!$G30</f>
        <v>448 (81, 1904)</v>
      </c>
      <c r="C11" t="str">
        <f>worldBankMedianCost!$G31</f>
        <v>773 (168, 4872)</v>
      </c>
      <c r="D11" t="str">
        <f>worldBankMedianCost!$G32</f>
        <v>1036 (247, 4541)</v>
      </c>
      <c r="E11" t="str">
        <f>worldBankMedianCost!$G33</f>
        <v>2431 (649, 10170)</v>
      </c>
    </row>
    <row r="12" spans="1:5" x14ac:dyDescent="0.2">
      <c r="A12" t="s">
        <v>117</v>
      </c>
      <c r="B12" t="str">
        <f>worldBankMedianCost!$G46</f>
        <v>995 (167, 5750)</v>
      </c>
      <c r="C12" t="str">
        <f>worldBankMedianCost!$G47</f>
        <v>1091 (238, 5930)</v>
      </c>
      <c r="D12" t="str">
        <f>worldBankMedianCost!$G48</f>
        <v>2015 (450, 8970)</v>
      </c>
      <c r="E12" t="str">
        <f>worldBankMedianCost!$G49</f>
        <v>4459 (1106, 18075)</v>
      </c>
    </row>
    <row r="15" spans="1:5" x14ac:dyDescent="0.2">
      <c r="B15" t="s">
        <v>110</v>
      </c>
      <c r="C15" t="s">
        <v>111</v>
      </c>
      <c r="D15" t="s">
        <v>112</v>
      </c>
      <c r="E15" t="s">
        <v>109</v>
      </c>
    </row>
    <row r="16" spans="1:5" x14ac:dyDescent="0.2">
      <c r="A16" t="s">
        <v>113</v>
      </c>
      <c r="B16" t="str">
        <f>allLMICMedianCosts!$F11</f>
        <v>536 (79, 3304)</v>
      </c>
      <c r="C16" t="str">
        <f>allLMICMedianCosts!$F12</f>
        <v>286 (34, 3744)</v>
      </c>
      <c r="D16" t="str">
        <f>allLMICMedianCosts!$F13</f>
        <v>1223 (152, 8101)</v>
      </c>
      <c r="E16" t="str">
        <f>allLMICMedianCosts!$F17</f>
        <v>2827 (573, 14361)</v>
      </c>
    </row>
    <row r="17" spans="1:5" x14ac:dyDescent="0.2">
      <c r="A17" t="s">
        <v>114</v>
      </c>
      <c r="B17" t="str">
        <f>top30MedianCosts!$F11</f>
        <v>424 (61, 2757)</v>
      </c>
      <c r="C17" t="str">
        <f>top30MedianCosts!$F12</f>
        <v>244 (28, 3384)</v>
      </c>
      <c r="D17" t="str">
        <f>top30MedianCosts!$F13</f>
        <v>1167 (145, 7925)</v>
      </c>
      <c r="E17" t="str">
        <f>top30MedianCosts!$F17</f>
        <v>2408 (555, 13562)</v>
      </c>
    </row>
    <row r="18" spans="1:5" x14ac:dyDescent="0.2">
      <c r="A18" t="s">
        <v>6</v>
      </c>
      <c r="B18" t="str">
        <f>regionMedianCosts!$G11</f>
        <v>341 (51, 2415)</v>
      </c>
      <c r="C18" t="str">
        <f>regionMedianCosts!G12</f>
        <v>207 (24, 2820)</v>
      </c>
      <c r="D18" t="str">
        <f>regionMedianCosts!G13</f>
        <v>1092 (150, 7165)</v>
      </c>
      <c r="E18" t="str">
        <f>regionMedianCosts!G17</f>
        <v>2048 (492, 10644)</v>
      </c>
    </row>
    <row r="19" spans="1:5" x14ac:dyDescent="0.2">
      <c r="A19" t="s">
        <v>36</v>
      </c>
      <c r="B19" t="str">
        <f>regionMedianCosts!$G27</f>
        <v>682 (166, 2982)</v>
      </c>
      <c r="C19" t="str">
        <f>regionMedianCosts!$G28</f>
        <v>369 (57, 3857)</v>
      </c>
      <c r="D19" t="str">
        <f>regionMedianCosts!$G29</f>
        <v>1499 (247, 6689)</v>
      </c>
      <c r="E19" t="str">
        <f>regionMedianCosts!$G33</f>
        <v>3693 (886, 13983)</v>
      </c>
    </row>
    <row r="20" spans="1:5" x14ac:dyDescent="0.2">
      <c r="A20" t="s">
        <v>50</v>
      </c>
      <c r="B20" t="str">
        <f>regionMedianCosts!$G43</f>
        <v>555 (116, 2369)</v>
      </c>
      <c r="C20" t="str">
        <f>regionMedianCosts!$G44</f>
        <v>244 (31, 2192)</v>
      </c>
      <c r="D20" t="str">
        <f>regionMedianCosts!$G45</f>
        <v>853 (93, 5234)</v>
      </c>
      <c r="E20" t="str">
        <f>regionMedianCosts!$G49</f>
        <v>2226 (426, 10162)</v>
      </c>
    </row>
    <row r="21" spans="1:5" x14ac:dyDescent="0.2">
      <c r="A21" t="s">
        <v>64</v>
      </c>
      <c r="B21" t="str">
        <f>regionMedianCosts!$G59</f>
        <v>1074 (203, 6351)</v>
      </c>
      <c r="C21" t="str">
        <f>regionMedianCosts!$G60</f>
        <v>413 (52, 3435)</v>
      </c>
      <c r="D21" t="str">
        <f>regionMedianCosts!$G61</f>
        <v>1149 (150, 6553)</v>
      </c>
      <c r="E21" t="str">
        <f>regionMedianCosts!$G65</f>
        <v>4048 (685, 16730)</v>
      </c>
    </row>
    <row r="22" spans="1:5" x14ac:dyDescent="0.2">
      <c r="A22" t="s">
        <v>78</v>
      </c>
      <c r="B22" t="str">
        <f>regionMedianCosts!$G75</f>
        <v>603 (128, 2545)</v>
      </c>
      <c r="C22" t="str">
        <f>regionMedianCosts!$G76</f>
        <v>278 (48, 3232)</v>
      </c>
      <c r="D22" t="str">
        <f>regionMedianCosts!$G77</f>
        <v>995 (135, 7570)</v>
      </c>
      <c r="E22" t="str">
        <f>regionMedianCosts!$G81</f>
        <v>2676 (724, 12011)</v>
      </c>
    </row>
    <row r="23" spans="1:5" x14ac:dyDescent="0.2">
      <c r="A23" t="s">
        <v>92</v>
      </c>
      <c r="B23" t="str">
        <f>regionMedianCosts!$G91</f>
        <v>498 (97, 3038)</v>
      </c>
      <c r="C23" t="str">
        <f>regionMedianCosts!$G92</f>
        <v>402 (48, 9898)</v>
      </c>
      <c r="D23" t="str">
        <f>regionMedianCosts!$G93</f>
        <v>2475 (259, 14316)</v>
      </c>
      <c r="E23" t="str">
        <f>regionMedianCosts!$G97</f>
        <v>4725 (1157, 21771)</v>
      </c>
    </row>
    <row r="24" spans="1:5" x14ac:dyDescent="0.2">
      <c r="A24" t="s">
        <v>115</v>
      </c>
      <c r="B24" t="str">
        <f>worldBankMedianCost!$G11</f>
        <v>287 (43, 1389)</v>
      </c>
      <c r="C24" t="str">
        <f>worldBankMedianCost!$G12</f>
        <v>146 (18, 1580)</v>
      </c>
      <c r="D24" t="str">
        <f>worldBankMedianCost!$G13</f>
        <v>755 (93, 5095)</v>
      </c>
      <c r="E24" t="str">
        <f>worldBankMedianCost!$G17</f>
        <v>1428 (357, 5741)</v>
      </c>
    </row>
    <row r="25" spans="1:5" x14ac:dyDescent="0.2">
      <c r="A25" t="s">
        <v>116</v>
      </c>
      <c r="B25" t="str">
        <f>worldBankMedianCost!$G27</f>
        <v>479 (90, 2032)</v>
      </c>
      <c r="C25" t="str">
        <f>worldBankMedianCost!$G28</f>
        <v>248 (39, 2870)</v>
      </c>
      <c r="D25" t="str">
        <f>worldBankMedianCost!$G29</f>
        <v>1073 (149, 7840)</v>
      </c>
      <c r="E25" t="str">
        <f>worldBankMedianCost!$G33</f>
        <v>2431 (649, 10170)</v>
      </c>
    </row>
    <row r="26" spans="1:5" x14ac:dyDescent="0.2">
      <c r="A26" t="s">
        <v>117</v>
      </c>
      <c r="B26" t="str">
        <f>worldBankMedianCost!$G43</f>
        <v>803 (143, 4513)</v>
      </c>
      <c r="C26" t="str">
        <f>worldBankMedianCost!$G44</f>
        <v>440 (61, 5338)</v>
      </c>
      <c r="D26" t="str">
        <f>worldBankMedianCost!$G45</f>
        <v>1680 (256, 9241)</v>
      </c>
      <c r="E26" t="str">
        <f>worldBankMedianCost!$G49</f>
        <v>4459 (1106, 18075)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allLMICMedianCosts</vt:lpstr>
      <vt:lpstr>top30MedianCosts</vt:lpstr>
      <vt:lpstr>regionMedianCosts</vt:lpstr>
      <vt:lpstr>worldBankMedianCost</vt:lpstr>
      <vt:lpstr>marginal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Swartwood, Nicole Anne</cp:lastModifiedBy>
  <dcterms:created xsi:type="dcterms:W3CDTF">2026-06-10T01:31:16Z</dcterms:created>
  <dcterms:modified xsi:type="dcterms:W3CDTF">2026-06-30T17:06:45Z</dcterms:modified>
</cp:coreProperties>
</file>