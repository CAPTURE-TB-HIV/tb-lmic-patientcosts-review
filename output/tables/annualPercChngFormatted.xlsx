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100/tbPatientCosts/tb-lmic-patientcosts-review/output/tables/"/>
    </mc:Choice>
  </mc:AlternateContent>
  <xr:revisionPtr revIDLastSave="0" documentId="13_ncr:9_{04317745-6CFB-D546-B414-E1858246F634}" xr6:coauthVersionLast="47" xr6:coauthVersionMax="47" xr10:uidLastSave="{00000000-0000-0000-0000-000000000000}"/>
  <bookViews>
    <workbookView xWindow="-6900" yWindow="880" windowWidth="28040" windowHeight="17440" activeTab="1" xr2:uid="{0F4A37FC-8B5A-FA46-ACE7-26CB2FC65D4B}"/>
  </bookViews>
  <sheets>
    <sheet name="annualPercChngTimeOnly" sheetId="1" r:id="rId1"/>
    <sheet name="annualPercChngAllCovs" sheetId="2" r:id="rId2"/>
  </sheets>
  <calcPr calcId="0"/>
</workbook>
</file>

<file path=xl/calcChain.xml><?xml version="1.0" encoding="utf-8"?>
<calcChain xmlns="http://schemas.openxmlformats.org/spreadsheetml/2006/main">
  <c r="K9" i="2" l="1"/>
  <c r="L9" i="2"/>
  <c r="J9" i="2"/>
  <c r="L8" i="2"/>
  <c r="K8" i="2"/>
  <c r="J8" i="2"/>
  <c r="L6" i="2"/>
  <c r="K6" i="2"/>
  <c r="J6" i="2"/>
  <c r="L5" i="2"/>
  <c r="K5" i="2"/>
  <c r="J5" i="2"/>
  <c r="L3" i="2"/>
  <c r="K3" i="2"/>
  <c r="J3" i="2"/>
  <c r="L2" i="2"/>
  <c r="K2" i="2"/>
  <c r="J2" i="2"/>
  <c r="L2" i="1"/>
  <c r="L9" i="1"/>
  <c r="L6" i="1"/>
  <c r="L8" i="1"/>
  <c r="L5" i="1"/>
  <c r="L3" i="1"/>
  <c r="K9" i="1"/>
  <c r="K6" i="1"/>
  <c r="K2" i="1"/>
  <c r="K8" i="1"/>
  <c r="K5" i="1"/>
  <c r="K3" i="1"/>
  <c r="J9" i="1"/>
  <c r="J6" i="1"/>
  <c r="J2" i="1"/>
  <c r="J8" i="1"/>
  <c r="J5" i="1"/>
  <c r="J3" i="1"/>
</calcChain>
</file>

<file path=xl/sharedStrings.xml><?xml version="1.0" encoding="utf-8"?>
<sst xmlns="http://schemas.openxmlformats.org/spreadsheetml/2006/main" count="188" uniqueCount="54">
  <si>
    <t>Value</t>
  </si>
  <si>
    <t>.lower</t>
  </si>
  <si>
    <t>.upper</t>
  </si>
  <si>
    <t>formatted</t>
  </si>
  <si>
    <t>12 (-35, 108)</t>
  </si>
  <si>
    <t>-4 (-46, 69)</t>
  </si>
  <si>
    <t>23 (-12, 73)</t>
  </si>
  <si>
    <t>10 (-28, 71)</t>
  </si>
  <si>
    <t>5 (-48, 97)</t>
  </si>
  <si>
    <t>-3 (-30, 34)</t>
  </si>
  <si>
    <t>44 (27, 70)</t>
  </si>
  <si>
    <t>-6 (-58, 58)</t>
  </si>
  <si>
    <t>52 (-2, 155)</t>
  </si>
  <si>
    <t>4 (-13, 27)</t>
  </si>
  <si>
    <t>-1 (-17, 14)</t>
  </si>
  <si>
    <t>9 (-2, 21)</t>
  </si>
  <si>
    <t>4 (-7, 17)</t>
  </si>
  <si>
    <t>2 (-17, 21)</t>
  </si>
  <si>
    <t>5 (-5, 15)</t>
  </si>
  <si>
    <t>6 (-8, 21)</t>
  </si>
  <si>
    <t>-1 (-23, 13)</t>
  </si>
  <si>
    <t>12 (-2, 34)</t>
  </si>
  <si>
    <t>drtb</t>
  </si>
  <si>
    <t>dme</t>
  </si>
  <si>
    <t>contntx</t>
  </si>
  <si>
    <t>intsvtx</t>
  </si>
  <si>
    <t>prediag</t>
  </si>
  <si>
    <t>dnme</t>
  </si>
  <si>
    <t>ie</t>
  </si>
  <si>
    <t>dstb</t>
  </si>
  <si>
    <t>resistance</t>
  </si>
  <si>
    <t>category</t>
  </si>
  <si>
    <t>phase</t>
  </si>
  <si>
    <t>Direct medical</t>
  </si>
  <si>
    <t>Direct non-medical</t>
  </si>
  <si>
    <t>Indirect</t>
  </si>
  <si>
    <t>1 (-43, 65)</t>
  </si>
  <si>
    <t>-6 (-46, 46)</t>
  </si>
  <si>
    <t>18 (-14, 66)</t>
  </si>
  <si>
    <t>7 (-35, 67)</t>
  </si>
  <si>
    <t>0 (-57, 93)</t>
  </si>
  <si>
    <t>-3 (-28, 30)</t>
  </si>
  <si>
    <t>41 (27, 65)</t>
  </si>
  <si>
    <t>-3 (-49, 54)</t>
  </si>
  <si>
    <t>45 (-6, 143)</t>
  </si>
  <si>
    <t>1 (-16, 19)</t>
  </si>
  <si>
    <t>0 (-16, 13)</t>
  </si>
  <si>
    <t>7 (-3, 20)</t>
  </si>
  <si>
    <t>3 (-10, 16)</t>
  </si>
  <si>
    <t>2 (-22, 26)</t>
  </si>
  <si>
    <t>4 (-4, 15)</t>
  </si>
  <si>
    <t>4 (-8, 19)</t>
  </si>
  <si>
    <t>1 (-17, 15)</t>
  </si>
  <si>
    <t>9 (-4,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</si>
</sst>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18" fillId="0" borderId="12" xfId="0" applyFont="1" applyBorder="1" applyAlignment="1">
      <alignment horizontal="right" vertical="center"/>
    </xf>
    <xf numFmtId="0" fontId="19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1013-2AD9-D043-B39D-355561C733B6}">
  <dimension ref="A1:L19"/>
  <sheetViews>
    <sheetView workbookViewId="0">
      <selection activeCell="I2" sqref="I2:I9"/>
    </sheetView>
  </sheetViews>
  <sheetFormatPr baseColWidth="10" defaultRowHeight="16" x14ac:dyDescent="0.2"/>
  <cols>
    <col min="2" max="4" width="29.83203125" customWidth="1"/>
  </cols>
  <sheetData>
    <row r="1" spans="1:12" x14ac:dyDescent="0.2">
      <c r="B1" t="s">
        <v>30</v>
      </c>
      <c r="C1" t="s">
        <v>31</v>
      </c>
      <c r="D1" t="s">
        <v>32</v>
      </c>
      <c r="E1" t="s">
        <v>0</v>
      </c>
      <c r="F1" t="s">
        <v>1</v>
      </c>
      <c r="G1" t="s">
        <v>2</v>
      </c>
      <c r="H1" t="s">
        <v>3</v>
      </c>
      <c r="J1" s="1" t="s">
        <v>33</v>
      </c>
      <c r="K1" s="2" t="s">
        <v>34</v>
      </c>
      <c r="L1" s="3" t="s">
        <v>35</v>
      </c>
    </row>
    <row r="2" spans="1:12" x14ac:dyDescent="0.2">
      <c r="A2">
        <v>1</v>
      </c>
      <c r="B2" t="s">
        <v>22</v>
      </c>
      <c r="C2" t="s">
        <v>23</v>
      </c>
      <c r="D2" t="s">
        <v>26</v>
      </c>
      <c r="E2">
        <v>23</v>
      </c>
      <c r="F2">
        <v>-12</v>
      </c>
      <c r="G2">
        <v>73</v>
      </c>
      <c r="H2" t="s">
        <v>6</v>
      </c>
      <c r="I2" t="s">
        <v>29</v>
      </c>
      <c r="J2" t="str">
        <f>H11</f>
        <v>9 (-2, 21)</v>
      </c>
      <c r="K2" t="str">
        <f>H12</f>
        <v>5 (-5, 15)</v>
      </c>
      <c r="L2" t="str">
        <f>H13</f>
        <v>12 (-2, 34)</v>
      </c>
    </row>
    <row r="3" spans="1:12" ht="17" thickBot="1" x14ac:dyDescent="0.25">
      <c r="A3">
        <v>2</v>
      </c>
      <c r="B3" t="s">
        <v>22</v>
      </c>
      <c r="C3" t="s">
        <v>27</v>
      </c>
      <c r="D3" t="s">
        <v>26</v>
      </c>
      <c r="E3">
        <v>-3</v>
      </c>
      <c r="F3">
        <v>-30</v>
      </c>
      <c r="G3">
        <v>34</v>
      </c>
      <c r="H3" t="s">
        <v>9</v>
      </c>
      <c r="I3" t="s">
        <v>22</v>
      </c>
      <c r="J3" t="str">
        <f>H2</f>
        <v>23 (-12, 73)</v>
      </c>
      <c r="K3" t="str">
        <f>H3</f>
        <v>-3 (-30, 34)</v>
      </c>
      <c r="L3" t="str">
        <f>H4</f>
        <v>52 (-2, 155)</v>
      </c>
    </row>
    <row r="4" spans="1:12" x14ac:dyDescent="0.2">
      <c r="A4">
        <v>3</v>
      </c>
      <c r="B4" t="s">
        <v>22</v>
      </c>
      <c r="C4" t="s">
        <v>28</v>
      </c>
      <c r="D4" t="s">
        <v>26</v>
      </c>
      <c r="E4">
        <v>52</v>
      </c>
      <c r="F4">
        <v>-2</v>
      </c>
      <c r="G4">
        <v>155</v>
      </c>
      <c r="H4" t="s">
        <v>12</v>
      </c>
      <c r="J4" s="1" t="s">
        <v>33</v>
      </c>
      <c r="K4" s="2" t="s">
        <v>34</v>
      </c>
      <c r="L4" s="3" t="s">
        <v>35</v>
      </c>
    </row>
    <row r="5" spans="1:12" x14ac:dyDescent="0.2">
      <c r="A5">
        <v>4</v>
      </c>
      <c r="B5" t="s">
        <v>22</v>
      </c>
      <c r="C5" t="s">
        <v>23</v>
      </c>
      <c r="D5" t="s">
        <v>25</v>
      </c>
      <c r="E5">
        <v>-4</v>
      </c>
      <c r="F5">
        <v>-46</v>
      </c>
      <c r="G5">
        <v>69</v>
      </c>
      <c r="H5" t="s">
        <v>5</v>
      </c>
      <c r="I5" t="s">
        <v>29</v>
      </c>
      <c r="J5" t="str">
        <f>H5</f>
        <v>-4 (-46, 69)</v>
      </c>
      <c r="K5" t="str">
        <f>H6</f>
        <v>5 (-48, 97)</v>
      </c>
      <c r="L5" t="str">
        <f>H7</f>
        <v>-6 (-58, 58)</v>
      </c>
    </row>
    <row r="6" spans="1:12" ht="17" thickBot="1" x14ac:dyDescent="0.25">
      <c r="A6">
        <v>5</v>
      </c>
      <c r="B6" t="s">
        <v>22</v>
      </c>
      <c r="C6" t="s">
        <v>27</v>
      </c>
      <c r="D6" t="s">
        <v>25</v>
      </c>
      <c r="E6">
        <v>5</v>
      </c>
      <c r="F6">
        <v>-48</v>
      </c>
      <c r="G6">
        <v>97</v>
      </c>
      <c r="H6" t="s">
        <v>8</v>
      </c>
      <c r="I6" t="s">
        <v>22</v>
      </c>
      <c r="J6" t="str">
        <f>H14</f>
        <v>-1 (-17, 14)</v>
      </c>
      <c r="K6" t="str">
        <f>H15</f>
        <v>2 (-17, 21)</v>
      </c>
      <c r="L6" t="str">
        <f>H16</f>
        <v>-1 (-23, 13)</v>
      </c>
    </row>
    <row r="7" spans="1:12" x14ac:dyDescent="0.2">
      <c r="A7">
        <v>6</v>
      </c>
      <c r="B7" t="s">
        <v>22</v>
      </c>
      <c r="C7" t="s">
        <v>28</v>
      </c>
      <c r="D7" t="s">
        <v>25</v>
      </c>
      <c r="E7">
        <v>-6</v>
      </c>
      <c r="F7">
        <v>-58</v>
      </c>
      <c r="G7">
        <v>58</v>
      </c>
      <c r="H7" t="s">
        <v>11</v>
      </c>
      <c r="J7" s="1" t="s">
        <v>33</v>
      </c>
      <c r="K7" s="2" t="s">
        <v>34</v>
      </c>
      <c r="L7" s="3" t="s">
        <v>35</v>
      </c>
    </row>
    <row r="8" spans="1:12" x14ac:dyDescent="0.2">
      <c r="A8">
        <v>7</v>
      </c>
      <c r="B8" t="s">
        <v>22</v>
      </c>
      <c r="C8" t="s">
        <v>23</v>
      </c>
      <c r="D8" t="s">
        <v>24</v>
      </c>
      <c r="E8">
        <v>12</v>
      </c>
      <c r="F8">
        <v>-35</v>
      </c>
      <c r="G8">
        <v>108</v>
      </c>
      <c r="H8" t="s">
        <v>4</v>
      </c>
      <c r="I8" t="s">
        <v>29</v>
      </c>
      <c r="J8" t="str">
        <f>H8</f>
        <v>12 (-35, 108)</v>
      </c>
      <c r="K8" t="str">
        <f>H9</f>
        <v>10 (-28, 71)</v>
      </c>
      <c r="L8" t="str">
        <f>H10</f>
        <v>44 (27, 70)</v>
      </c>
    </row>
    <row r="9" spans="1:12" x14ac:dyDescent="0.2">
      <c r="A9">
        <v>8</v>
      </c>
      <c r="B9" t="s">
        <v>22</v>
      </c>
      <c r="C9" t="s">
        <v>27</v>
      </c>
      <c r="D9" t="s">
        <v>24</v>
      </c>
      <c r="E9">
        <v>10</v>
      </c>
      <c r="F9">
        <v>-28</v>
      </c>
      <c r="G9">
        <v>71</v>
      </c>
      <c r="H9" t="s">
        <v>7</v>
      </c>
      <c r="I9" t="s">
        <v>22</v>
      </c>
      <c r="J9" t="str">
        <f>H17</f>
        <v>4 (-13, 27)</v>
      </c>
      <c r="K9" t="str">
        <f>H18</f>
        <v>4 (-7, 17)</v>
      </c>
      <c r="L9" t="str">
        <f>H19</f>
        <v>6 (-8, 21)</v>
      </c>
    </row>
    <row r="10" spans="1:12" x14ac:dyDescent="0.2">
      <c r="A10">
        <v>9</v>
      </c>
      <c r="B10" t="s">
        <v>22</v>
      </c>
      <c r="C10" t="s">
        <v>28</v>
      </c>
      <c r="D10" t="s">
        <v>24</v>
      </c>
      <c r="E10">
        <v>44</v>
      </c>
      <c r="F10">
        <v>27</v>
      </c>
      <c r="G10">
        <v>70</v>
      </c>
      <c r="H10" t="s">
        <v>10</v>
      </c>
    </row>
    <row r="11" spans="1:12" x14ac:dyDescent="0.2">
      <c r="A11">
        <v>10</v>
      </c>
      <c r="B11" t="s">
        <v>29</v>
      </c>
      <c r="C11" t="s">
        <v>23</v>
      </c>
      <c r="D11" t="s">
        <v>26</v>
      </c>
      <c r="E11">
        <v>9</v>
      </c>
      <c r="F11">
        <v>-2</v>
      </c>
      <c r="G11">
        <v>21</v>
      </c>
      <c r="H11" t="s">
        <v>15</v>
      </c>
    </row>
    <row r="12" spans="1:12" x14ac:dyDescent="0.2">
      <c r="A12">
        <v>11</v>
      </c>
      <c r="B12" t="s">
        <v>29</v>
      </c>
      <c r="C12" t="s">
        <v>27</v>
      </c>
      <c r="D12" t="s">
        <v>26</v>
      </c>
      <c r="E12">
        <v>5</v>
      </c>
      <c r="F12">
        <v>-5</v>
      </c>
      <c r="G12">
        <v>15</v>
      </c>
      <c r="H12" t="s">
        <v>18</v>
      </c>
    </row>
    <row r="13" spans="1:12" x14ac:dyDescent="0.2">
      <c r="A13">
        <v>12</v>
      </c>
      <c r="B13" t="s">
        <v>29</v>
      </c>
      <c r="C13" t="s">
        <v>28</v>
      </c>
      <c r="D13" t="s">
        <v>26</v>
      </c>
      <c r="E13">
        <v>12</v>
      </c>
      <c r="F13">
        <v>-2</v>
      </c>
      <c r="G13">
        <v>34</v>
      </c>
      <c r="H13" t="s">
        <v>21</v>
      </c>
    </row>
    <row r="14" spans="1:12" x14ac:dyDescent="0.2">
      <c r="A14">
        <v>13</v>
      </c>
      <c r="B14" t="s">
        <v>29</v>
      </c>
      <c r="C14" t="s">
        <v>23</v>
      </c>
      <c r="D14" t="s">
        <v>25</v>
      </c>
      <c r="E14">
        <v>-1</v>
      </c>
      <c r="F14">
        <v>-17</v>
      </c>
      <c r="G14">
        <v>14</v>
      </c>
      <c r="H14" t="s">
        <v>14</v>
      </c>
    </row>
    <row r="15" spans="1:12" x14ac:dyDescent="0.2">
      <c r="A15">
        <v>14</v>
      </c>
      <c r="B15" t="s">
        <v>29</v>
      </c>
      <c r="C15" t="s">
        <v>27</v>
      </c>
      <c r="D15" t="s">
        <v>25</v>
      </c>
      <c r="E15">
        <v>2</v>
      </c>
      <c r="F15">
        <v>-17</v>
      </c>
      <c r="G15">
        <v>21</v>
      </c>
      <c r="H15" t="s">
        <v>17</v>
      </c>
    </row>
    <row r="16" spans="1:12" x14ac:dyDescent="0.2">
      <c r="A16">
        <v>15</v>
      </c>
      <c r="B16" t="s">
        <v>29</v>
      </c>
      <c r="C16" t="s">
        <v>28</v>
      </c>
      <c r="D16" t="s">
        <v>25</v>
      </c>
      <c r="E16">
        <v>-1</v>
      </c>
      <c r="F16">
        <v>-23</v>
      </c>
      <c r="G16">
        <v>13</v>
      </c>
      <c r="H16" t="s">
        <v>20</v>
      </c>
    </row>
    <row r="17" spans="1:8" x14ac:dyDescent="0.2">
      <c r="A17">
        <v>16</v>
      </c>
      <c r="B17" t="s">
        <v>29</v>
      </c>
      <c r="C17" t="s">
        <v>23</v>
      </c>
      <c r="D17" t="s">
        <v>24</v>
      </c>
      <c r="E17">
        <v>4</v>
      </c>
      <c r="F17">
        <v>-13</v>
      </c>
      <c r="G17">
        <v>27</v>
      </c>
      <c r="H17" t="s">
        <v>13</v>
      </c>
    </row>
    <row r="18" spans="1:8" x14ac:dyDescent="0.2">
      <c r="A18">
        <v>17</v>
      </c>
      <c r="B18" t="s">
        <v>29</v>
      </c>
      <c r="C18" t="s">
        <v>27</v>
      </c>
      <c r="D18" t="s">
        <v>24</v>
      </c>
      <c r="E18">
        <v>4</v>
      </c>
      <c r="F18">
        <v>-7</v>
      </c>
      <c r="G18">
        <v>17</v>
      </c>
      <c r="H18" t="s">
        <v>16</v>
      </c>
    </row>
    <row r="19" spans="1:8" x14ac:dyDescent="0.2">
      <c r="A19">
        <v>18</v>
      </c>
      <c r="B19" t="s">
        <v>29</v>
      </c>
      <c r="C19" t="s">
        <v>28</v>
      </c>
      <c r="D19" t="s">
        <v>24</v>
      </c>
      <c r="E19">
        <v>6</v>
      </c>
      <c r="F19">
        <v>-8</v>
      </c>
      <c r="G19">
        <v>21</v>
      </c>
      <c r="H19" t="s">
        <v>19</v>
      </c>
    </row>
  </sheetData>
  <sortState xmlns:xlrd2="http://schemas.microsoft.com/office/spreadsheetml/2017/richdata2" ref="B2:H19">
    <sortCondition ref="B2:B19"/>
    <sortCondition descending="1" ref="D2:D19"/>
    <sortCondition ref="C2:C1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2114-935B-0A43-A386-5A338EEBB590}">
  <dimension ref="B1:L19"/>
  <sheetViews>
    <sheetView tabSelected="1" workbookViewId="0">
      <selection activeCell="L9" sqref="J9:L9"/>
    </sheetView>
  </sheetViews>
  <sheetFormatPr baseColWidth="10" defaultRowHeight="16" x14ac:dyDescent="0.2"/>
  <cols>
    <col min="10" max="10" width="18.1640625" customWidth="1"/>
    <col min="11" max="11" width="18" customWidth="1"/>
    <col min="12" max="12" width="16.1640625" customWidth="1"/>
  </cols>
  <sheetData>
    <row r="1" spans="2:12" x14ac:dyDescent="0.2">
      <c r="B1" s="4" t="s">
        <v>30</v>
      </c>
      <c r="C1" s="4" t="s">
        <v>31</v>
      </c>
      <c r="D1" s="4" t="s">
        <v>32</v>
      </c>
      <c r="E1" s="4" t="s">
        <v>0</v>
      </c>
      <c r="F1" s="4" t="s">
        <v>1</v>
      </c>
      <c r="G1" s="4" t="s">
        <v>2</v>
      </c>
      <c r="H1" s="4" t="s">
        <v>3</v>
      </c>
      <c r="J1" t="s">
        <v>33</v>
      </c>
      <c r="K1" t="s">
        <v>34</v>
      </c>
      <c r="L1" t="s">
        <v>35</v>
      </c>
    </row>
    <row r="2" spans="2:12" x14ac:dyDescent="0.2">
      <c r="B2" t="s">
        <v>22</v>
      </c>
      <c r="C2" t="s">
        <v>23</v>
      </c>
      <c r="D2" t="s">
        <v>26</v>
      </c>
      <c r="E2">
        <v>18</v>
      </c>
      <c r="F2">
        <v>-14</v>
      </c>
      <c r="G2">
        <v>66</v>
      </c>
      <c r="H2" t="s">
        <v>38</v>
      </c>
      <c r="I2" s="5" t="s">
        <v>29</v>
      </c>
      <c r="J2" t="str">
        <f>H11</f>
        <v>7 (-3, 20)</v>
      </c>
      <c r="K2" t="str">
        <f>H12</f>
        <v>4 (-4, 15)</v>
      </c>
      <c r="L2" t="str">
        <f>H13</f>
        <v>9 (-4, 31)</v>
      </c>
    </row>
    <row r="3" spans="2:12" x14ac:dyDescent="0.2">
      <c r="B3" t="s">
        <v>22</v>
      </c>
      <c r="C3" t="s">
        <v>27</v>
      </c>
      <c r="D3" t="s">
        <v>26</v>
      </c>
      <c r="E3">
        <v>-3</v>
      </c>
      <c r="F3">
        <v>-28</v>
      </c>
      <c r="G3">
        <v>30</v>
      </c>
      <c r="H3" t="s">
        <v>41</v>
      </c>
      <c r="I3" s="5" t="s">
        <v>22</v>
      </c>
      <c r="J3" t="str">
        <f>H2</f>
        <v>18 (-14, 66)</v>
      </c>
      <c r="K3" t="str">
        <f>H3</f>
        <v>-3 (-28, 30)</v>
      </c>
      <c r="L3" t="str">
        <f>H4</f>
        <v>45 (-6, 143)</v>
      </c>
    </row>
    <row r="4" spans="2:12" x14ac:dyDescent="0.2">
      <c r="B4" t="s">
        <v>22</v>
      </c>
      <c r="C4" t="s">
        <v>28</v>
      </c>
      <c r="D4" t="s">
        <v>26</v>
      </c>
      <c r="E4">
        <v>45</v>
      </c>
      <c r="F4">
        <v>-6</v>
      </c>
      <c r="G4">
        <v>143</v>
      </c>
      <c r="H4" t="s">
        <v>44</v>
      </c>
      <c r="I4" s="5"/>
      <c r="J4" t="s">
        <v>33</v>
      </c>
      <c r="K4" t="s">
        <v>34</v>
      </c>
      <c r="L4" t="s">
        <v>35</v>
      </c>
    </row>
    <row r="5" spans="2:12" x14ac:dyDescent="0.2">
      <c r="B5" t="s">
        <v>22</v>
      </c>
      <c r="C5" t="s">
        <v>23</v>
      </c>
      <c r="D5" t="s">
        <v>25</v>
      </c>
      <c r="E5">
        <v>-6</v>
      </c>
      <c r="F5">
        <v>-46</v>
      </c>
      <c r="G5">
        <v>46</v>
      </c>
      <c r="H5" t="s">
        <v>37</v>
      </c>
      <c r="I5" s="5" t="s">
        <v>29</v>
      </c>
      <c r="J5" t="str">
        <f>H5</f>
        <v>-6 (-46, 46)</v>
      </c>
      <c r="K5" t="str">
        <f>H6</f>
        <v>0 (-57, 93)</v>
      </c>
      <c r="L5" t="str">
        <f>H7</f>
        <v>-3 (-49, 54)</v>
      </c>
    </row>
    <row r="6" spans="2:12" x14ac:dyDescent="0.2">
      <c r="B6" t="s">
        <v>22</v>
      </c>
      <c r="C6" t="s">
        <v>27</v>
      </c>
      <c r="D6" t="s">
        <v>25</v>
      </c>
      <c r="E6">
        <v>0</v>
      </c>
      <c r="F6">
        <v>-57</v>
      </c>
      <c r="G6">
        <v>93</v>
      </c>
      <c r="H6" t="s">
        <v>40</v>
      </c>
      <c r="I6" s="5" t="s">
        <v>22</v>
      </c>
      <c r="J6" t="str">
        <f>H14</f>
        <v>0 (-16, 13)</v>
      </c>
      <c r="K6" t="str">
        <f>H15</f>
        <v>2 (-22, 26)</v>
      </c>
      <c r="L6" t="str">
        <f>H16</f>
        <v>1 (-17, 15)</v>
      </c>
    </row>
    <row r="7" spans="2:12" x14ac:dyDescent="0.2">
      <c r="B7" t="s">
        <v>22</v>
      </c>
      <c r="C7" t="s">
        <v>28</v>
      </c>
      <c r="D7" t="s">
        <v>25</v>
      </c>
      <c r="E7">
        <v>-3</v>
      </c>
      <c r="F7">
        <v>-49</v>
      </c>
      <c r="G7">
        <v>54</v>
      </c>
      <c r="H7" t="s">
        <v>43</v>
      </c>
      <c r="I7" s="5"/>
      <c r="J7" t="s">
        <v>33</v>
      </c>
      <c r="K7" t="s">
        <v>34</v>
      </c>
      <c r="L7" t="s">
        <v>35</v>
      </c>
    </row>
    <row r="8" spans="2:12" x14ac:dyDescent="0.2">
      <c r="B8" t="s">
        <v>22</v>
      </c>
      <c r="C8" t="s">
        <v>23</v>
      </c>
      <c r="D8" t="s">
        <v>24</v>
      </c>
      <c r="E8">
        <v>1</v>
      </c>
      <c r="F8">
        <v>-43</v>
      </c>
      <c r="G8">
        <v>65</v>
      </c>
      <c r="H8" t="s">
        <v>36</v>
      </c>
      <c r="I8" s="5" t="s">
        <v>29</v>
      </c>
      <c r="J8" t="str">
        <f>H8</f>
        <v>1 (-43, 65)</v>
      </c>
      <c r="K8" t="str">
        <f>H9</f>
        <v>7 (-35, 67)</v>
      </c>
      <c r="L8" t="str">
        <f>H10</f>
        <v>41 (27, 65)</v>
      </c>
    </row>
    <row r="9" spans="2:12" x14ac:dyDescent="0.2">
      <c r="B9" t="s">
        <v>22</v>
      </c>
      <c r="C9" t="s">
        <v>27</v>
      </c>
      <c r="D9" t="s">
        <v>24</v>
      </c>
      <c r="E9">
        <v>7</v>
      </c>
      <c r="F9">
        <v>-35</v>
      </c>
      <c r="G9">
        <v>67</v>
      </c>
      <c r="H9" t="s">
        <v>39</v>
      </c>
      <c r="I9" s="5" t="s">
        <v>22</v>
      </c>
      <c r="J9" t="str">
        <f>H17</f>
        <v>1 (-16, 19)</v>
      </c>
      <c r="K9" t="str">
        <f>H18</f>
        <v>3 (-10, 16)</v>
      </c>
      <c r="L9" t="str">
        <f>H19</f>
        <v>4 (-8, 19)</v>
      </c>
    </row>
    <row r="10" spans="2:12" x14ac:dyDescent="0.2">
      <c r="B10" t="s">
        <v>22</v>
      </c>
      <c r="C10" t="s">
        <v>28</v>
      </c>
      <c r="D10" t="s">
        <v>24</v>
      </c>
      <c r="E10">
        <v>41</v>
      </c>
      <c r="F10">
        <v>27</v>
      </c>
      <c r="G10">
        <v>65</v>
      </c>
      <c r="H10" t="s">
        <v>42</v>
      </c>
    </row>
    <row r="11" spans="2:12" x14ac:dyDescent="0.2">
      <c r="B11" t="s">
        <v>29</v>
      </c>
      <c r="C11" t="s">
        <v>23</v>
      </c>
      <c r="D11" t="s">
        <v>26</v>
      </c>
      <c r="E11">
        <v>7</v>
      </c>
      <c r="F11">
        <v>-3</v>
      </c>
      <c r="G11">
        <v>20</v>
      </c>
      <c r="H11" t="s">
        <v>47</v>
      </c>
    </row>
    <row r="12" spans="2:12" x14ac:dyDescent="0.2">
      <c r="B12" t="s">
        <v>29</v>
      </c>
      <c r="C12" t="s">
        <v>27</v>
      </c>
      <c r="D12" t="s">
        <v>26</v>
      </c>
      <c r="E12">
        <v>4</v>
      </c>
      <c r="F12">
        <v>-4</v>
      </c>
      <c r="G12">
        <v>15</v>
      </c>
      <c r="H12" t="s">
        <v>50</v>
      </c>
    </row>
    <row r="13" spans="2:12" x14ac:dyDescent="0.2">
      <c r="B13" t="s">
        <v>29</v>
      </c>
      <c r="C13" t="s">
        <v>28</v>
      </c>
      <c r="D13" t="s">
        <v>26</v>
      </c>
      <c r="E13">
        <v>9</v>
      </c>
      <c r="F13">
        <v>-4</v>
      </c>
      <c r="G13">
        <v>31</v>
      </c>
      <c r="H13" t="s">
        <v>53</v>
      </c>
    </row>
    <row r="14" spans="2:12" x14ac:dyDescent="0.2">
      <c r="B14" t="s">
        <v>29</v>
      </c>
      <c r="C14" t="s">
        <v>23</v>
      </c>
      <c r="D14" t="s">
        <v>25</v>
      </c>
      <c r="E14">
        <v>0</v>
      </c>
      <c r="F14">
        <v>-16</v>
      </c>
      <c r="G14">
        <v>13</v>
      </c>
      <c r="H14" t="s">
        <v>46</v>
      </c>
    </row>
    <row r="15" spans="2:12" x14ac:dyDescent="0.2">
      <c r="B15" t="s">
        <v>29</v>
      </c>
      <c r="C15" t="s">
        <v>27</v>
      </c>
      <c r="D15" t="s">
        <v>25</v>
      </c>
      <c r="E15">
        <v>2</v>
      </c>
      <c r="F15">
        <v>-22</v>
      </c>
      <c r="G15">
        <v>26</v>
      </c>
      <c r="H15" t="s">
        <v>49</v>
      </c>
    </row>
    <row r="16" spans="2:12" x14ac:dyDescent="0.2">
      <c r="B16" t="s">
        <v>29</v>
      </c>
      <c r="C16" t="s">
        <v>28</v>
      </c>
      <c r="D16" t="s">
        <v>25</v>
      </c>
      <c r="E16">
        <v>1</v>
      </c>
      <c r="F16">
        <v>-17</v>
      </c>
      <c r="G16">
        <v>15</v>
      </c>
      <c r="H16" t="s">
        <v>52</v>
      </c>
    </row>
    <row r="17" spans="2:8" x14ac:dyDescent="0.2">
      <c r="B17" t="s">
        <v>29</v>
      </c>
      <c r="C17" t="s">
        <v>23</v>
      </c>
      <c r="D17" t="s">
        <v>24</v>
      </c>
      <c r="E17">
        <v>1</v>
      </c>
      <c r="F17">
        <v>-16</v>
      </c>
      <c r="G17">
        <v>19</v>
      </c>
      <c r="H17" t="s">
        <v>45</v>
      </c>
    </row>
    <row r="18" spans="2:8" x14ac:dyDescent="0.2">
      <c r="B18" t="s">
        <v>29</v>
      </c>
      <c r="C18" t="s">
        <v>27</v>
      </c>
      <c r="D18" t="s">
        <v>24</v>
      </c>
      <c r="E18">
        <v>3</v>
      </c>
      <c r="F18">
        <v>-10</v>
      </c>
      <c r="G18">
        <v>16</v>
      </c>
      <c r="H18" t="s">
        <v>48</v>
      </c>
    </row>
    <row r="19" spans="2:8" x14ac:dyDescent="0.2">
      <c r="B19" t="s">
        <v>29</v>
      </c>
      <c r="C19" t="s">
        <v>28</v>
      </c>
      <c r="D19" t="s">
        <v>24</v>
      </c>
      <c r="E19">
        <v>4</v>
      </c>
      <c r="F19">
        <v>-8</v>
      </c>
      <c r="G19">
        <v>19</v>
      </c>
      <c r="H19" t="s">
        <v>51</v>
      </c>
    </row>
  </sheetData>
  <sortState xmlns:xlrd2="http://schemas.microsoft.com/office/spreadsheetml/2017/richdata2" ref="B2:H20">
    <sortCondition ref="B2:B20"/>
    <sortCondition descending="1" ref="D2:D20"/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annualPercChngTimeOnly</vt:lpstr>
      <vt:lpstr>annualPercChngAllCovs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Swartwood, Nicole Anne</cp:lastModifiedBy>
  <dcterms:created xsi:type="dcterms:W3CDTF">2026-05-21T17:37:18Z</dcterms:created>
  <dcterms:modified xsi:type="dcterms:W3CDTF">2026-05-21T20:05:18Z</dcterms:modified>
</cp:coreProperties>
</file>